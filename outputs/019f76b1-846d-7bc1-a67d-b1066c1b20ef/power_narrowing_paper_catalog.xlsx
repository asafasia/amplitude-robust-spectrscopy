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ac050cc6234eac" /></Relationships>
</file>

<file path=xl/workbook.xml><?xml version="1.0" encoding="utf-8"?>
<x:workbook xmlns:x="http://schemas.openxmlformats.org/spreadsheetml/2006/main">
  <x:sheets>
    <x:sheet xmlns:r="http://schemas.openxmlformats.org/officeDocument/2006/relationships" name="Summary" sheetId="1" r:id="Rdab94fe503aa4ffe"/>
    <x:sheet xmlns:r="http://schemas.openxmlformats.org/officeDocument/2006/relationships" name="Paper Index" sheetId="2" r:id="R38b02c7034bb4a44"/>
    <x:sheet xmlns:r="http://schemas.openxmlformats.org/officeDocument/2006/relationships" name="Full Metadata" sheetId="3" r:id="R37c510b2e1b14e76"/>
    <x:sheet xmlns:r="http://schemas.openxmlformats.org/officeDocument/2006/relationships" name="Source Audit" sheetId="4" r:id="R8cefc4f353214ab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Carlito"/>
    </x:font>
    <x:font>
      <x:i/>
      <x:sz val="10"/>
      <x:color rgb="FF5E6B75"/>
      <x:name val="Carlito"/>
    </x:font>
    <x:font>
      <x:b/>
      <x:sz val="11"/>
      <x:color rgb="FFFFFFFF"/>
      <x:name val="Carlito"/>
    </x:font>
    <x:font>
      <x:b/>
      <x:sz val="11"/>
      <x:color rgb="FF17324D"/>
      <x:name val="Carlito"/>
    </x:font>
    <x:font>
      <x:b/>
      <x:sz val="12"/>
      <x:color rgb="FF2A7F62"/>
      <x:name val="Carlito"/>
    </x:font>
    <x:font>
      <x:sz val="10"/>
      <x:color rgb="FF17324D"/>
      <x:name val="Carlito"/>
    </x:font>
    <x:font>
      <x:sz val="11"/>
      <x:color rgb="FF1A5FB4"/>
      <x:name val="Carlito"/>
    </x:font>
  </x:fonts>
  <x:fills count="7">
    <x:fill>
      <x:patternFill patternType="none"/>
    </x:fill>
    <x:fill>
      <x:patternFill patternType="gray125"/>
    </x:fill>
    <x:fill>
      <x:patternFill patternType="solid">
        <x:fgColor rgb="FF17324D"/>
      </x:patternFill>
    </x:fill>
    <x:fill>
      <x:patternFill patternType="solid">
        <x:fgColor rgb="FFEEF4F7"/>
      </x:patternFill>
    </x:fill>
    <x:fill>
      <x:patternFill patternType="solid">
        <x:fgColor rgb="FF2A7F62"/>
      </x:patternFill>
    </x:fill>
    <x:fill>
      <x:patternFill patternType="solid">
        <x:fgColor rgb="FFE8F3EE"/>
      </x:patternFill>
    </x:fill>
    <x:fill>
      <x:patternFill patternType="solid">
        <x:fgColor rgb="FFD9A441"/>
      </x:patternFill>
    </x:fill>
  </x:fills>
  <x:borders count="15">
    <x:border/>
    <x:border>
      <x:left style="thin">
        <x:color rgb="FF2A7F62"/>
      </x:left>
      <x:top style="thin">
        <x:color rgb="FF2A7F62"/>
      </x:top>
      <x:bottom style="thin">
        <x:color rgb="FF2A7F62"/>
      </x:bottom>
    </x:border>
    <x:border>
      <x:right style="thin">
        <x:color rgb="FF2A7F62"/>
      </x:right>
      <x:top style="thin">
        <x:color rgb="FF2A7F62"/>
      </x:top>
      <x:bottom style="thin">
        <x:color rgb="FF2A7F62"/>
      </x:bottom>
    </x:border>
    <x:border>
      <x:right style="thin">
        <x:color rgb="FFD6DEE3"/>
      </x:right>
      <x:bottom style="thin">
        <x:color rgb="FFD6DEE3"/>
      </x:bottom>
    </x:border>
    <x:border>
      <x:left style="thin">
        <x:color rgb="FFD6DEE3"/>
      </x:left>
      <x:bottom style="thin">
        <x:color rgb="FFD6DEE3"/>
      </x:bottom>
    </x:border>
    <x:border>
      <x:right style="thin">
        <x:color rgb="FFD6DEE3"/>
      </x:right>
      <x:top style="thin">
        <x:color rgb="FFD6DEE3"/>
      </x:top>
      <x:bottom style="thin">
        <x:color rgb="FFD6DEE3"/>
      </x:bottom>
    </x:border>
    <x:border>
      <x:left style="thin">
        <x:color rgb="FFD6DEE3"/>
      </x:left>
      <x:top style="thin">
        <x:color rgb="FFD6DEE3"/>
      </x:top>
      <x:bottom style="thin">
        <x:color rgb="FFD6DEE3"/>
      </x:bottom>
    </x:border>
    <x:border>
      <x:right style="thin">
        <x:color rgb="FFD6DEE3"/>
      </x:right>
      <x:top style="thin">
        <x:color rgb="FFD6DEE3"/>
      </x:top>
    </x:border>
    <x:border>
      <x:left style="thin">
        <x:color rgb="FFD6DEE3"/>
      </x:left>
      <x:top style="thin">
        <x:color rgb="FFD6DEE3"/>
      </x:top>
    </x:border>
    <x:border>
      <x:left style="thin">
        <x:color rgb="FFD6DEE3"/>
      </x:left>
      <x:top style="thin">
        <x:color rgb="FFD6DEE3"/>
      </x:top>
      <x:bottom style="thin">
        <x:color rgb="FF2A7F62"/>
      </x:bottom>
    </x:border>
    <x:border>
      <x:right style="thin">
        <x:color rgb="FFD6DEE3"/>
      </x:right>
      <x:top style="thin">
        <x:color rgb="FFD6DEE3"/>
      </x:top>
      <x:bottom style="thin">
        <x:color rgb="FF2A7F62"/>
      </x:bottom>
    </x:border>
    <x:border>
      <x:left style="thin">
        <x:color rgb="FFD6DEE3"/>
      </x:left>
      <x:right style="thin">
        <x:color rgb="FFD6DEE3"/>
      </x:right>
      <x:bottom style="thin">
        <x:color rgb="FFD6DEE3"/>
      </x:bottom>
    </x:border>
    <x:border>
      <x:left style="thin">
        <x:color rgb="FFD6DEE3"/>
      </x:left>
      <x:right style="thin">
        <x:color rgb="FFD6DEE3"/>
      </x:right>
      <x:top style="thin">
        <x:color rgb="FFD6DEE3"/>
      </x:top>
      <x:bottom style="thin">
        <x:color rgb="FFD6DEE3"/>
      </x:bottom>
    </x:border>
    <x:border>
      <x:left style="thin">
        <x:color rgb="FFD6DEE3"/>
      </x:left>
      <x:right style="thin">
        <x:color rgb="FFD6DEE3"/>
      </x:right>
      <x:top style="thin">
        <x:color rgb="FFD6DEE3"/>
      </x:top>
    </x:border>
    <x:border>
      <x:top style="thin">
        <x:color rgb="FFD6DEE3"/>
      </x:top>
    </x:border>
  </x:borders>
  <x:cellStyleXfs count="1">
    <x:xf numFmtId="0" fontId="0" fillId="0" borderId="0"/>
  </x:cellStyleXfs>
  <x:cellXfs count="9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4" fillId="0" borderId="3" xfId="0" applyNumberFormat="1" applyFont="1" applyFill="1" applyBorder="1"/>
    <x:xf numFmtId="0" fontId="4" fillId="0" borderId="5" xfId="0" applyNumberFormat="1" applyFont="1" applyFill="1" applyBorder="1"/>
    <x:xf numFmtId="0" fontId="4" fillId="0" borderId="7" xfId="0" applyNumberFormat="1" applyFont="1" applyFill="1" applyBorder="1"/>
    <x:xf numFmtId="0" fontId="0" fillId="5" borderId="4" xfId="0" applyNumberFormat="1" applyFont="1" applyFill="1" applyBorder="1"/>
    <x:xf numFmtId="0" fontId="0" fillId="5" borderId="6" xfId="0" applyNumberFormat="1" applyFont="1" applyFill="1" applyBorder="1"/>
    <x:xf numFmtId="0" fontId="0" fillId="5" borderId="8" xfId="0" applyNumberFormat="1" applyFont="1" applyFill="1" applyBorder="1"/>
    <x:xf numFmtId="0" fontId="5" fillId="5" borderId="4" xfId="0" applyNumberFormat="1" applyFont="1" applyFill="1" applyBorder="1"/>
    <x:xf numFmtId="0" fontId="5" fillId="5" borderId="6" xfId="0" applyNumberFormat="1" applyFont="1" applyFill="1" applyBorder="1"/>
    <x:xf numFmtId="0" fontId="5" fillId="5" borderId="8" xfId="0" applyNumberFormat="1" applyFont="1" applyFill="1" applyBorder="1"/>
    <x:xf numFmtId="200" fontId="5" fillId="5" borderId="4" xfId="0" applyNumberFormat="1" applyFont="1" applyFill="1" applyBorder="1"/>
    <x:xf numFmtId="200" fontId="5" fillId="5" borderId="6" xfId="0" applyNumberFormat="1" applyFont="1" applyFill="1" applyBorder="1"/>
    <x:xf numFmtId="200" fontId="5" fillId="5" borderId="8" xfId="0" applyNumberFormat="1" applyFont="1" applyFill="1" applyBorder="1"/>
    <x:xf numFmtId="200" fontId="5" fillId="5" borderId="4" xfId="0" applyNumberFormat="1" applyFont="1" applyFill="1" applyBorder="1" applyAlignment="1">
      <x:alignment horizontal="center"/>
    </x:xf>
    <x:xf numFmtId="200" fontId="5" fillId="5" borderId="6" xfId="0" applyNumberFormat="1" applyFont="1" applyFill="1" applyBorder="1" applyAlignment="1">
      <x:alignment horizontal="center"/>
    </x:xf>
    <x:xf numFmtId="200" fontId="5" fillId="5" borderId="8" xfId="0" applyNumberFormat="1" applyFont="1" applyFill="1" applyBorder="1" applyAlignment="1">
      <x:alignment horizontal="center"/>
    </x:xf>
    <x:xf numFmtId="0" fontId="3" fillId="4" borderId="9" xfId="0" applyNumberFormat="1" applyFont="1" applyFill="1" applyBorder="1"/>
    <x:xf numFmtId="0" fontId="3" fillId="4" borderId="10" xfId="0" applyNumberFormat="1" applyFont="1" applyFill="1" applyBorder="1"/>
    <x:xf numFmtId="0" fontId="4" fillId="0" borderId="11" xfId="0" applyNumberFormat="1" applyFont="1" applyFill="1" applyBorder="1"/>
    <x:xf numFmtId="200" fontId="5" fillId="5" borderId="11" xfId="0" applyNumberFormat="1" applyFont="1" applyFill="1" applyBorder="1" applyAlignment="1">
      <x:alignment horizontal="center"/>
    </x:xf>
    <x:xf numFmtId="0" fontId="4" fillId="0" borderId="12" xfId="0" applyNumberFormat="1" applyFont="1" applyFill="1" applyBorder="1"/>
    <x:xf numFmtId="200" fontId="5" fillId="5" borderId="12" xfId="0" applyNumberFormat="1" applyFont="1" applyFill="1" applyBorder="1" applyAlignment="1">
      <x:alignment horizontal="center"/>
    </x:xf>
    <x:xf numFmtId="0" fontId="0" fillId="6" borderId="0" xfId="0" applyNumberFormat="1" applyFont="1" applyFill="1" applyBorder="1"/>
    <x:xf numFmtId="0" fontId="4" fillId="6" borderId="0" xfId="0" applyNumberFormat="1" applyFont="1" applyFill="1" applyBorder="1"/>
    <x:xf numFmtId="0" fontId="6" fillId="0" borderId="0" xfId="0" applyNumberFormat="1" applyFont="1" applyFill="1" applyBorder="1"/>
    <x:xf numFmtId="0" fontId="6" fillId="0" borderId="3" xfId="0" applyNumberFormat="1" applyFont="1" applyFill="1" applyBorder="1"/>
    <x:xf numFmtId="0" fontId="6" fillId="0" borderId="11"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12"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13" xfId="0" applyNumberFormat="1" applyFont="1" applyFill="1" applyBorder="1"/>
    <x:xf numFmtId="0" fontId="6" fillId="0" borderId="8" xfId="0" applyNumberFormat="1" applyFont="1" applyFill="1" applyBorder="1"/>
    <x:xf numFmtId="0" fontId="6" fillId="0" borderId="3" xfId="0" applyNumberFormat="1" applyFont="1" applyFill="1" applyBorder="1" applyAlignment="1">
      <x:alignment wrapText="1"/>
    </x:xf>
    <x:xf numFmtId="0" fontId="6" fillId="0" borderId="11"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6" fillId="0" borderId="13"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3"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4" fillId="6" borderId="8" xfId="0" applyNumberFormat="1" applyFont="1" applyFill="1" applyBorder="1"/>
    <x:xf numFmtId="0" fontId="4" fillId="6" borderId="14" xfId="0" applyNumberFormat="1" applyFont="1" applyFill="1" applyBorder="1"/>
    <x:xf numFmtId="0" fontId="4" fillId="6" borderId="7" xfId="0" applyNumberFormat="1" applyFont="1" applyFill="1" applyBorder="1"/>
    <x:xf numFmtId="0" fontId="3" fillId="2" borderId="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3" fillId="2" borderId="8" xfId="0" applyNumberFormat="1" applyFont="1" applyFill="1" applyBorder="1"/>
    <x:xf numFmtId="0" fontId="3" fillId="2" borderId="14" xfId="0" applyNumberFormat="1" applyFont="1" applyFill="1" applyBorder="1"/>
    <x:xf numFmtId="0" fontId="3" fillId="2" borderId="7" xfId="0" applyNumberFormat="1" applyFont="1" applyFill="1" applyBorder="1"/>
    <x:xf numFmtId="200" fontId="0" fillId="0" borderId="11" xfId="0" applyNumberFormat="1" applyFont="1" applyFill="1" applyBorder="1"/>
    <x:xf numFmtId="200" fontId="0" fillId="0" borderId="12"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7" fillId="0" borderId="0" xfId="0" applyNumberFormat="1" applyFont="1" applyFill="1" applyBorder="1" applyAlignment="1">
      <x:alignment vertical="top"/>
    </x:xf>
    <x:xf numFmtId="0" fontId="0" fillId="0" borderId="0" xfId="0" applyNumberFormat="1" applyFont="1" applyFill="1" applyBorder="1" applyAlignment="1">
      <x:alignment horizontal="center" vertical="top"/>
    </x:xf>
    <x:xf numFmtId="200" fontId="0"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cellXfs>
  <x:cellStyles count="1">
    <x:cellStyle name="Normal" xfId="0"/>
  </x:cellStyles>
  <x:dxfs count="3">
    <x:dxf>
      <x:font>
        <x:b/>
        <x:color rgb="FF2A7F62"/>
      </x:font>
      <x:fill>
        <x:patternFill patternType="solid">
          <x:bgColor rgb="FFE8F3EE"/>
        </x:patternFill>
      </x:fill>
    </x:dxf>
    <x:dxf>
      <x:font>
        <x:b/>
        <x:color rgb="FF8A5A00"/>
      </x:font>
      <x:fill>
        <x:patternFill patternType="solid">
          <x:bgColor rgb="FFFFF4D8"/>
        </x:patternFill>
      </x:fill>
    </x:dxf>
    <x:dxf>
      <x:font>
        <x:b/>
        <x:color rgb="FF8A5A00"/>
      </x:font>
      <x:fill>
        <x:patternFill patternType="solid">
          <x:bgColor rgb="FFFFF4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ff71d90f8940c9" /><Relationship Type="http://schemas.openxmlformats.org/officeDocument/2006/relationships/theme" Target="/xl/theme/theme1.xml" Id="R8f68b10648ed4c65" /><Relationship Type="http://schemas.openxmlformats.org/officeDocument/2006/relationships/sharedStrings" Target="/xl/sharedStrings.xml" Id="R8ab4424d05754197" /><Relationship Type="http://schemas.openxmlformats.org/officeDocument/2006/relationships/worksheet" Target="/xl/worksheets/sheet1.xml" Id="Rdab94fe503aa4ffe" /><Relationship Type="http://schemas.openxmlformats.org/officeDocument/2006/relationships/worksheet" Target="/xl/worksheets/sheet2.xml" Id="R38b02c7034bb4a44" /><Relationship Type="http://schemas.openxmlformats.org/officeDocument/2006/relationships/worksheet" Target="/xl/worksheets/sheet3.xml" Id="R37c510b2e1b14e76" /><Relationship Type="http://schemas.openxmlformats.org/officeDocument/2006/relationships/worksheet" Target="/xl/worksheets/sheet4.xml" Id="R8cefc4f353214ab9" /></Relationships>
</file>

<file path=xl/tables/table1.xml><?xml version="1.0" encoding="utf-8"?>
<x:table xmlns:x="http://schemas.openxmlformats.org/spreadsheetml/2006/main" id="1" name="PowerNarrowingPapers" displayName="PowerNarrowingPapers" ref="A4:R67" headerRowCount="1" totalsRowCount="0" totalsRowShown="0">
  <x:autoFilter ref="A4:R67"/>
  <x:tableColumns count="18">
    <x:tableColumn id="1" name="Record ID"/>
    <x:tableColumn id="2" name="Title"/>
    <x:tableColumn id="3" name="Authors"/>
    <x:tableColumn id="4" name="Year"/>
    <x:tableColumn id="5" name="Venue"/>
    <x:tableColumn id="6" name="Article Link"/>
    <x:tableColumn id="7" name="DOI"/>
    <x:tableColumn id="8" name="arXiv ID"/>
    <x:tableColumn id="9" name="Cited in Manuscript"/>
    <x:tableColumn id="10" name="Active Bibliography"/>
    <x:tableColumn id="11" name="Scientific Assistant DB"/>
    <x:tableColumn id="12" name="Citation Key(s)"/>
    <x:tableColumn id="13" name="Category"/>
    <x:tableColumn id="14" name="Reading Status"/>
    <x:tableColumn id="15" name="Tags"/>
    <x:tableColumn id="16" name="Notes"/>
    <x:tableColumn id="17" name="Scope Flag"/>
    <x:tableColumn id="18" name="Record Type"/>
  </x:tableColumns>
  <x:tableStyleInfo name="TableStyleMedium2" showFirstColumn="0" showLastColumn="0" showRowStripes="1" showColumnStripes="0"/>
</x:table>
</file>

<file path=xl/tables/table2.xml><?xml version="1.0" encoding="utf-8"?>
<x:table xmlns:x="http://schemas.openxmlformats.org/spreadsheetml/2006/main" id="2" name="PowerNarrowingMetadata" displayName="PowerNarrowingMetadata" ref="A4:S67" headerRowCount="1" totalsRowCount="0" totalsRowShown="0">
  <x:autoFilter ref="A4:S67"/>
  <x:tableColumns count="19">
    <x:tableColumn id="1" name="Record ID"/>
    <x:tableColumn id="2" name="Title"/>
    <x:tableColumn id="3" name="Year"/>
    <x:tableColumn id="4" name="Month"/>
    <x:tableColumn id="5" name="Venue"/>
    <x:tableColumn id="6" name="Publisher"/>
    <x:tableColumn id="7" name="Volume"/>
    <x:tableColumn id="8" name="Issue"/>
    <x:tableColumn id="9" name="Pages"/>
    <x:tableColumn id="10" name="DOI"/>
    <x:tableColumn id="11" name="Article URL"/>
    <x:tableColumn id="12" name="arXiv ID"/>
    <x:tableColumn id="13" name="Abstract"/>
    <x:tableColumn id="14" name="Database Notes"/>
    <x:tableColumn id="15" name="Local PDF Path(s)"/>
    <x:tableColumn id="16" name="Source File(s)"/>
    <x:tableColumn id="17" name="Database Record ID(s)"/>
    <x:tableColumn id="18" name="BibTeX Key(s)"/>
    <x:tableColumn id="19" name="Deduplication Basis"/>
  </x:tableColumns>
  <x:tableStyleInfo name="TableStyleMedium2" showFirstColumn="0" showLastColumn="0" showRowStripes="1" showColumnStripes="0"/>
</x:table>
</file>

<file path=xl/tables/table3.xml><?xml version="1.0" encoding="utf-8"?>
<x:table xmlns:x="http://schemas.openxmlformats.org/spreadsheetml/2006/main" id="3" name="SourceAuditRecords" displayName="SourceAuditRecords" ref="A4:L74" headerRowCount="1" totalsRowCount="0" totalsRowShown="0">
  <x:autoFilter ref="A4:L74"/>
  <x:tableColumns count="12">
    <x:tableColumn id="1" name="Source Type"/>
    <x:tableColumn id="2" name="Source Location"/>
    <x:tableColumn id="3" name="Source Record ID"/>
    <x:tableColumn id="4" name="Original Title"/>
    <x:tableColumn id="5" name="DOI"/>
    <x:tableColumn id="6" name="Article URL"/>
    <x:tableColumn id="7" name="Cited"/>
    <x:tableColumn id="8" name="Included"/>
    <x:tableColumn id="9" name="Consolidated Record ID"/>
    <x:tableColumn id="10" name="Match Method"/>
    <x:tableColumn id="11" name="Exclusion Reason"/>
    <x:tableColumn id="12" name="Local PDF Path(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f424f161924d51" /></Relationships>
</file>

<file path=xl/worksheets/_rels/sheet3.xml.rels>&#65279;<?xml version="1.0" encoding="utf-8"?><Relationships xmlns="http://schemas.openxmlformats.org/package/2006/relationships"><Relationship Type="http://schemas.openxmlformats.org/officeDocument/2006/relationships/table" Target="/xl/tables/table2.xml" Id="R46333da8643b40ca" /></Relationships>
</file>

<file path=xl/worksheets/_rels/sheet4.xml.rels>&#65279;<?xml version="1.0" encoding="utf-8"?><Relationships xmlns="http://schemas.openxmlformats.org/package/2006/relationships"><Relationship Type="http://schemas.openxmlformats.org/officeDocument/2006/relationships/table" Target="/xl/tables/table3.xml" Id="R80de9b0799844788"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4" max="4" width="18" hidden="0" customWidth="1"/>
    <x:col min="5" max="5" width="18" hidden="0" customWidth="1"/>
    <x:col min="6" max="6" width="18" hidden="0" customWidth="1"/>
    <x:col min="7" max="7" width="18" hidden="0" customWidth="1"/>
    <x:col min="8" max="8" width="18" hidden="0" customWidth="1"/>
    <x:col min="3" max="3" width="16" hidden="0" customWidth="1"/>
  </x:cols>
  <x:sheetData>
    <x:row r="1" ht="32" customHeight="1">
      <x:c r="A1" s="3" t="str">
        <x:v>Power-Narrowing Spectroscopy Paper Catalog</x:v>
      </x:c>
      <x:c r="B1" s="3"/>
      <x:c r="C1" s="3"/>
      <x:c r="D1" s="3"/>
      <x:c r="E1" s="3"/>
      <x:c r="F1" s="3"/>
      <x:c r="G1" s="3"/>
      <x:c r="H1" s="3"/>
    </x:row>
    <x:row r="2" ht="30" customHeight="1">
      <x:c r="A2" s="7" t="str">
        <x:v>Deduplicated catalog from the active manuscript bibliography and the Scientific Assistant power-narrowing-spectroscopy database project.</x:v>
      </x:c>
      <x:c r="B2" s="7"/>
      <x:c r="C2" s="7"/>
      <x:c r="D2" s="7"/>
      <x:c r="E2" s="7"/>
      <x:c r="F2" s="7"/>
      <x:c r="G2" s="7"/>
      <x:c r="H2" s="7"/>
    </x:row>
    <x:row r="4">
      <x:c r="A4" s="33" t="str">
        <x:v>Metric</x:v>
      </x:c>
      <x:c r="B4" s="34" t="str">
        <x:v>Value</x:v>
      </x:c>
      <x:c r="D4" s="69" t="str">
        <x:v>Scope and provenance</x:v>
      </x:c>
      <x:c r="E4" s="70"/>
      <x:c r="F4" s="70"/>
      <x:c r="G4" s="70"/>
      <x:c r="H4" s="71"/>
    </x:row>
    <x:row r="5" ht="38" customHeight="1">
      <x:c r="A5" s="35" t="str">
        <x:v>Unique paper records</x:v>
      </x:c>
      <x:c r="B5" s="36" t="n">
        <x:f>COUNTA('Paper Index'!$A$5:$A$67)</x:f>
        <x:v>63</x:v>
      </x:c>
      <x:c r="D5" s="61" t="str">
        <x:v>Active bibliography: paper/references.bib. Citation status is parsed from manuscript .tex files under paper/ (archive excluded).</x:v>
      </x:c>
      <x:c r="E5" s="61"/>
      <x:c r="F5" s="61"/>
      <x:c r="G5" s="61"/>
      <x:c r="H5" s="61"/>
    </x:row>
    <x:row r="6" ht="38" customHeight="1">
      <x:c r="A6" s="37" t="str">
        <x:v>Cited in manuscript</x:v>
      </x:c>
      <x:c r="B6" s="38" t="n">
        <x:f>COUNTIF('Paper Index'!$I$5:$I$67,"Yes")</x:f>
        <x:v>28</x:v>
      </x:c>
      <x:c r="D6" s="64" t="str">
        <x:v>Database: ~/.research-assistant/research.db, exact project name power-narrowing-spectroscopy.</x:v>
      </x:c>
      <x:c r="E6" s="64"/>
      <x:c r="F6" s="64"/>
      <x:c r="G6" s="64"/>
      <x:c r="H6" s="64"/>
    </x:row>
    <x:row r="7" ht="38" customHeight="1">
      <x:c r="A7" s="37" t="str">
        <x:v>From active bibliography</x:v>
      </x:c>
      <x:c r="B7" s="38" t="n">
        <x:f>COUNTIF('Paper Index'!$J$5:$J$67,"Yes")</x:f>
        <x:v>32</x:v>
      </x:c>
      <x:c r="D7" s="64" t="str">
        <x:v>Deduplication order: normalized DOI, arXiv ID, then normalized title.</x:v>
      </x:c>
      <x:c r="E7" s="64"/>
      <x:c r="F7" s="64"/>
      <x:c r="G7" s="64"/>
      <x:c r="H7" s="64"/>
    </x:row>
    <x:row r="8" ht="38" customHeight="1">
      <x:c r="A8" s="37" t="str">
        <x:v>From Scientific Assistant DB</x:v>
      </x:c>
      <x:c r="B8" s="38" t="n">
        <x:f>COUNTIF('Paper Index'!$K$5:$K$67,"Yes")</x:f>
        <x:v>37</x:v>
      </x:c>
      <x:c r="D8" s="64" t="str">
        <x:v>The internal SupplementalMaterial record is retained only in Source Audit and excluded from the paper count.</x:v>
      </x:c>
      <x:c r="E8" s="64"/>
      <x:c r="F8" s="64"/>
      <x:c r="G8" s="64"/>
      <x:c r="H8" s="64"/>
    </x:row>
    <x:row r="9" ht="38" customHeight="1">
      <x:c r="A9" s="37" t="str">
        <x:v>Present in both sources</x:v>
      </x:c>
      <x:c r="B9" s="38" t="n">
        <x:f>COUNTIFS('Paper Index'!$J$5:$J$67,"Yes",'Paper Index'!$K$5:$K$67,"Yes")</x:f>
        <x:v>6</x:v>
      </x:c>
      <x:c r="D9" s="64" t="str">
        <x:v>mainNotes.bib and supplementalNotes.bib contain bibliography-control directives only, not paper records.</x:v>
      </x:c>
      <x:c r="E9" s="64"/>
      <x:c r="F9" s="64"/>
      <x:c r="G9" s="64"/>
      <x:c r="H9" s="64"/>
    </x:row>
    <x:row r="10" ht="38" customHeight="1">
      <x:c r="A10" s="37" t="str">
        <x:v>Missing article link</x:v>
      </x:c>
      <x:c r="B10" s="38" t="n">
        <x:f>COUNTBLANK('Paper Index'!$F$5:$F$67)</x:f>
        <x:v>2</x:v>
      </x:c>
      <x:c r="D10" s="64" t="str">
        <x:v>paper/archive/legacy_zotero_export.bib is not imported because it is explicitly archived.</x:v>
      </x:c>
      <x:c r="E10" s="64"/>
      <x:c r="F10" s="64"/>
      <x:c r="G10" s="64"/>
      <x:c r="H10" s="64"/>
    </x:row>
    <x:row r="11" ht="38" customHeight="1">
      <x:c r="A11" s="37" t="str">
        <x:v>Template/example records retained</x:v>
      </x:c>
      <x:c r="B11" s="38" t="n">
        <x:f>COUNTIF('Paper Index'!$Q$5:$Q$67,"Likely template/example record; retained because it is in the active .bib")</x:f>
        <x:v>4</x:v>
      </x:c>
      <x:c r="D11" s="64" t="str">
        <x:v>Likely LaTeX template examples are kept in the catalog and clearly flagged so no active .bib entry is silently lost.</x:v>
      </x:c>
      <x:c r="E11" s="64"/>
      <x:c r="F11" s="64"/>
      <x:c r="G11" s="64"/>
      <x:c r="H11" s="64"/>
    </x:row>
    <x:row r="14">
      <x:c r="A14" s="76" t="str">
        <x:v>Scientific Assistant category</x:v>
      </x:c>
      <x:c r="B14" s="77" t="str">
        <x:v>Paper count</x:v>
      </x:c>
      <x:c r="C14" s="78" t="str">
        <x:v>Important / read</x:v>
      </x:c>
    </x:row>
    <x:row r="15">
      <x:c r="A15" s="73" t="str">
        <x:v>2026-dressed-state-spectrum-analysis</x:v>
      </x:c>
      <x:c r="B15" s="79" t="n">
        <x:f>COUNTIF('Paper Index'!$M$5:$M$67,A15)</x:f>
        <x:v>1</x:v>
      </x:c>
      <x:c r="C15" s="79" t="n">
        <x:f>COUNTIFS('Paper Index'!$M$5:$M$67,A15,'Paper Index'!$N$5:$N$67,"important")+COUNTIFS('Paper Index'!$M$5:$M$67,A15,'Paper Index'!$N$5:$N$67,"read")</x:f>
        <x:v>0</x:v>
      </x:c>
    </x:row>
    <x:row r="16">
      <x:c r="A16" s="74" t="str">
        <x:v>2026-spectral-superresolution-filter-design</x:v>
      </x:c>
      <x:c r="B16" s="80" t="n">
        <x:f>COUNTIF('Paper Index'!$M$5:$M$67,A16)</x:f>
        <x:v>1</x:v>
      </x:c>
      <x:c r="C16" s="80" t="n">
        <x:f>COUNTIFS('Paper Index'!$M$5:$M$67,A16,'Paper Index'!$N$5:$N$67,"important")+COUNTIFS('Paper Index'!$M$5:$M$67,A16,'Paper Index'!$N$5:$N$67,"read")</x:f>
        <x:v>0</x:v>
      </x:c>
    </x:row>
    <x:row r="17">
      <x:c r="A17" s="74" t="str">
        <x:v>2026-superconducting-noise-spectroscopy</x:v>
      </x:c>
      <x:c r="B17" s="80" t="n">
        <x:f>COUNTIF('Paper Index'!$M$5:$M$67,A17)</x:f>
        <x:v>1</x:v>
      </x:c>
      <x:c r="C17" s="80" t="n">
        <x:f>COUNTIFS('Paper Index'!$M$5:$M$67,A17,'Paper Index'!$N$5:$N$67,"important")+COUNTIFS('Paper Index'!$M$5:$M$67,A17,'Paper Index'!$N$5:$N$67,"read")</x:f>
        <x:v>0</x:v>
      </x:c>
    </x:row>
    <x:row r="18">
      <x:c r="A18" s="74" t="str">
        <x:v>2026-superconducting-pulse-shaping</x:v>
      </x:c>
      <x:c r="B18" s="80" t="n">
        <x:f>COUNTIF('Paper Index'!$M$5:$M$67,A18)</x:f>
        <x:v>1</x:v>
      </x:c>
      <x:c r="C18" s="80" t="n">
        <x:f>COUNTIFS('Paper Index'!$M$5:$M$67,A18,'Paper Index'!$N$5:$N$67,"important")+COUNTIFS('Paper Index'!$M$5:$M$67,A18,'Paper Index'!$N$5:$N$67,"read")</x:f>
        <x:v>0</x:v>
      </x:c>
    </x:row>
    <x:row r="19">
      <x:c r="A19" s="74" t="str">
        <x:v>2026-time-reversal-metrology</x:v>
      </x:c>
      <x:c r="B19" s="80" t="n">
        <x:f>COUNTIF('Paper Index'!$M$5:$M$67,A19)</x:f>
        <x:v>1</x:v>
      </x:c>
      <x:c r="C19" s="80" t="n">
        <x:f>COUNTIFS('Paper Index'!$M$5:$M$67,A19,'Paper Index'!$N$5:$N$67,"important")+COUNTIFS('Paper Index'!$M$5:$M$67,A19,'Paper Index'!$N$5:$N$67,"read")</x:f>
        <x:v>0</x:v>
      </x:c>
    </x:row>
    <x:row r="20">
      <x:c r="A20" s="74" t="str">
        <x:v>adiabatic-basis-and-inertial-control</x:v>
      </x:c>
      <x:c r="B20" s="80" t="n">
        <x:f>COUNTIF('Paper Index'!$M$5:$M$67,A20)</x:f>
        <x:v>2</x:v>
      </x:c>
      <x:c r="C20" s="80" t="n">
        <x:f>COUNTIFS('Paper Index'!$M$5:$M$67,A20,'Paper Index'!$N$5:$N$67,"important")+COUNTIFS('Paper Index'!$M$5:$M$67,A20,'Paper Index'!$N$5:$N$67,"read")</x:f>
        <x:v>0</x:v>
      </x:c>
    </x:row>
    <x:row r="21">
      <x:c r="A21" s="74" t="str">
        <x:v>amplitude-robust-passband-pulses</x:v>
      </x:c>
      <x:c r="B21" s="80" t="n">
        <x:f>COUNTIF('Paper Index'!$M$5:$M$67,A21)</x:f>
        <x:v>1</x:v>
      </x:c>
      <x:c r="C21" s="80" t="n">
        <x:f>COUNTIFS('Paper Index'!$M$5:$M$67,A21,'Paper Index'!$N$5:$N$67,"important")+COUNTIFS('Paper Index'!$M$5:$M$67,A21,'Paper Index'!$N$5:$N$67,"read")</x:f>
        <x:v>0</x:v>
      </x:c>
    </x:row>
    <x:row r="22">
      <x:c r="A22" s="74" t="str">
        <x:v>beyond-probe-t2-spectroscopy</x:v>
      </x:c>
      <x:c r="B22" s="80" t="n">
        <x:f>COUNTIF('Paper Index'!$M$5:$M$67,A22)</x:f>
        <x:v>1</x:v>
      </x:c>
      <x:c r="C22" s="80" t="n">
        <x:f>COUNTIFS('Paper Index'!$M$5:$M$67,A22,'Paper Index'!$N$5:$N$67,"important")+COUNTIFS('Paper Index'!$M$5:$M$67,A22,'Paper Index'!$N$5:$N$67,"read")</x:f>
        <x:v>0</x:v>
      </x:c>
    </x:row>
    <x:row r="23">
      <x:c r="A23" s="74" t="str">
        <x:v>clock-assisted-qubit-spectroscopy</x:v>
      </x:c>
      <x:c r="B23" s="80" t="n">
        <x:f>COUNTIF('Paper Index'!$M$5:$M$67,A23)</x:f>
        <x:v>1</x:v>
      </x:c>
      <x:c r="C23" s="80" t="n">
        <x:f>COUNTIFS('Paper Index'!$M$5:$M$67,A23,'Paper Index'!$N$5:$N$67,"important")+COUNTIFS('Paper Index'!$M$5:$M$67,A23,'Paper Index'!$N$5:$N$67,"read")</x:f>
        <x:v>0</x:v>
      </x:c>
    </x:row>
    <x:row r="24">
      <x:c r="A24" s="74" t="str">
        <x:v>contrast-power-broadening</x:v>
      </x:c>
      <x:c r="B24" s="80" t="n">
        <x:f>COUNTIF('Paper Index'!$M$5:$M$67,A24)</x:f>
        <x:v>1</x:v>
      </x:c>
      <x:c r="C24" s="80" t="n">
        <x:f>COUNTIFS('Paper Index'!$M$5:$M$67,A24,'Paper Index'!$N$5:$N$67,"important")+COUNTIFS('Paper Index'!$M$5:$M$67,A24,'Paper Index'!$N$5:$N$67,"read")</x:f>
        <x:v>0</x:v>
      </x:c>
    </x:row>
    <x:row r="25">
      <x:c r="A25" s="74" t="str">
        <x:v>core-power-narrowing</x:v>
      </x:c>
      <x:c r="B25" s="80" t="n">
        <x:f>COUNTIF('Paper Index'!$M$5:$M$67,A25)</x:f>
        <x:v>1</x:v>
      </x:c>
      <x:c r="C25" s="80" t="n">
        <x:f>COUNTIFS('Paper Index'!$M$5:$M$67,A25,'Paper Index'!$N$5:$N$67,"important")+COUNTIFS('Paper Index'!$M$5:$M$67,A25,'Paper Index'!$N$5:$N$67,"read")</x:f>
        <x:v>0</x:v>
      </x:c>
    </x:row>
    <x:row r="26">
      <x:c r="A26" s="74" t="str">
        <x:v>correlation-superresolution-background</x:v>
      </x:c>
      <x:c r="B26" s="80" t="n">
        <x:f>COUNTIF('Paper Index'!$M$5:$M$67,A26)</x:f>
        <x:v>1</x:v>
      </x:c>
      <x:c r="C26" s="80" t="n">
        <x:f>COUNTIFS('Paper Index'!$M$5:$M$67,A26,'Paper Index'!$N$5:$N$67,"important")+COUNTIFS('Paper Index'!$M$5:$M$67,A26,'Paper Index'!$N$5:$N$67,"read")</x:f>
        <x:v>0</x:v>
      </x:c>
    </x:row>
    <x:row r="27">
      <x:c r="A27" s="74" t="str">
        <x:v>drive-dressed-open-system-control</x:v>
      </x:c>
      <x:c r="B27" s="80" t="n">
        <x:f>COUNTIF('Paper Index'!$M$5:$M$67,A27)</x:f>
        <x:v>1</x:v>
      </x:c>
      <x:c r="C27" s="80" t="n">
        <x:f>COUNTIFS('Paper Index'!$M$5:$M$67,A27,'Paper Index'!$N$5:$N$67,"important")+COUNTIFS('Paper Index'!$M$5:$M$67,A27,'Paper Index'!$N$5:$N$67,"read")</x:f>
        <x:v>0</x:v>
      </x:c>
    </x:row>
    <x:row r="28">
      <x:c r="A28" s="74" t="str">
        <x:v>echo-foundations</x:v>
      </x:c>
      <x:c r="B28" s="80" t="n">
        <x:f>COUNTIF('Paper Index'!$M$5:$M$67,A28)</x:f>
        <x:v>2</x:v>
      </x:c>
      <x:c r="C28" s="80" t="n">
        <x:f>COUNTIFS('Paper Index'!$M$5:$M$67,A28,'Paper Index'!$N$5:$N$67,"important")+COUNTIFS('Paper Index'!$M$5:$M$67,A28,'Paper Index'!$N$5:$N$67,"read")</x:f>
        <x:v>0</x:v>
      </x:c>
    </x:row>
    <x:row r="29">
      <x:c r="A29" s="74" t="str">
        <x:v>echo-spectroscopy-foundations</x:v>
      </x:c>
      <x:c r="B29" s="80" t="n">
        <x:f>COUNTIF('Paper Index'!$M$5:$M$67,A29)</x:f>
        <x:v>1</x:v>
      </x:c>
      <x:c r="C29" s="80" t="n">
        <x:f>COUNTIFS('Paper Index'!$M$5:$M$67,A29,'Paper Index'!$N$5:$N$67,"important")+COUNTIFS('Paper Index'!$M$5:$M$67,A29,'Paper Index'!$N$5:$N$67,"read")</x:f>
        <x:v>0</x:v>
      </x:c>
    </x:row>
    <x:row r="30">
      <x:c r="A30" s="74" t="str">
        <x:v>loschmidt-echo-metrology</x:v>
      </x:c>
      <x:c r="B30" s="80" t="n">
        <x:f>COUNTIF('Paper Index'!$M$5:$M$67,A30)</x:f>
        <x:v>2</x:v>
      </x:c>
      <x:c r="C30" s="80" t="n">
        <x:f>COUNTIFS('Paper Index'!$M$5:$M$67,A30,'Paper Index'!$N$5:$N$67,"important")+COUNTIFS('Paper Index'!$M$5:$M$67,A30,'Paper Index'!$N$5:$N$67,"read")</x:f>
        <x:v>0</x:v>
      </x:c>
    </x:row>
    <x:row r="31">
      <x:c r="A31" s="74" t="str">
        <x:v>narrowband-composite-pulses</x:v>
      </x:c>
      <x:c r="B31" s="80" t="n">
        <x:f>COUNTIF('Paper Index'!$M$5:$M$67,A31)</x:f>
        <x:v>1</x:v>
      </x:c>
      <x:c r="C31" s="80" t="n">
        <x:f>COUNTIFS('Paper Index'!$M$5:$M$67,A31,'Paper Index'!$N$5:$N$67,"important")+COUNTIFS('Paper Index'!$M$5:$M$67,A31,'Paper Index'!$N$5:$N$67,"read")</x:f>
        <x:v>0</x:v>
      </x:c>
    </x:row>
    <x:row r="32">
      <x:c r="A32" s="74" t="str">
        <x:v>narrowband-control-theory</x:v>
      </x:c>
      <x:c r="B32" s="80" t="n">
        <x:f>COUNTIF('Paper Index'!$M$5:$M$67,A32)</x:f>
        <x:v>1</x:v>
      </x:c>
      <x:c r="C32" s="80" t="n">
        <x:f>COUNTIFS('Paper Index'!$M$5:$M$67,A32,'Paper Index'!$N$5:$N$67,"important")+COUNTIFS('Paper Index'!$M$5:$M$67,A32,'Paper Index'!$N$5:$N$67,"read")</x:f>
        <x:v>0</x:v>
      </x:c>
    </x:row>
    <x:row r="33">
      <x:c r="A33" s="74" t="str">
        <x:v>nonadiabatic-driven-open-systems</x:v>
      </x:c>
      <x:c r="B33" s="80" t="n">
        <x:f>COUNTIF('Paper Index'!$M$5:$M$67,A33)</x:f>
        <x:v>1</x:v>
      </x:c>
      <x:c r="C33" s="80" t="n">
        <x:f>COUNTIFS('Paper Index'!$M$5:$M$67,A33,'Paper Index'!$N$5:$N$67,"important")+COUNTIFS('Paper Index'!$M$5:$M$67,A33,'Paper Index'!$N$5:$N$67,"read")</x:f>
        <x:v>0</x:v>
      </x:c>
    </x:row>
    <x:row r="34">
      <x:c r="A34" s="74" t="str">
        <x:v>nonlinear-depletion-analogy</x:v>
      </x:c>
      <x:c r="B34" s="80" t="n">
        <x:f>COUNTIF('Paper Index'!$M$5:$M$67,A34)</x:f>
        <x:v>2</x:v>
      </x:c>
      <x:c r="C34" s="80" t="n">
        <x:f>COUNTIFS('Paper Index'!$M$5:$M$67,A34,'Paper Index'!$N$5:$N$67,"important")+COUNTIFS('Paper Index'!$M$5:$M$67,A34,'Paper Index'!$N$5:$N$67,"read")</x:f>
        <x:v>1</x:v>
      </x:c>
    </x:row>
    <x:row r="35">
      <x:c r="A35" s="74" t="str">
        <x:v>power-broadening-practical-sensitivity</x:v>
      </x:c>
      <x:c r="B35" s="80" t="n">
        <x:f>COUNTIF('Paper Index'!$M$5:$M$67,A35)</x:f>
        <x:v>1</x:v>
      </x:c>
      <x:c r="C35" s="80" t="n">
        <x:f>COUNTIFS('Paper Index'!$M$5:$M$67,A35,'Paper Index'!$N$5:$N$67,"important")+COUNTIFS('Paper Index'!$M$5:$M$67,A35,'Paper Index'!$N$5:$N$67,"read")</x:f>
        <x:v>0</x:v>
      </x:c>
    </x:row>
    <x:row r="36">
      <x:c r="A36" s="74" t="str">
        <x:v>power-broadening-suppression-background</x:v>
      </x:c>
      <x:c r="B36" s="80" t="n">
        <x:f>COUNTIF('Paper Index'!$M$5:$M$67,A36)</x:f>
        <x:v>1</x:v>
      </x:c>
      <x:c r="C36" s="80" t="n">
        <x:f>COUNTIFS('Paper Index'!$M$5:$M$67,A36,'Paper Index'!$N$5:$N$67,"important")+COUNTIFS('Paper Index'!$M$5:$M$67,A36,'Paper Index'!$N$5:$N$67,"read")</x:f>
        <x:v>1</x:v>
      </x:c>
    </x:row>
    <x:row r="37">
      <x:c r="A37" s="74" t="str">
        <x:v>power-narrowing-theory-precursor</x:v>
      </x:c>
      <x:c r="B37" s="80" t="n">
        <x:f>COUNTIF('Paper Index'!$M$5:$M$67,A37)</x:f>
        <x:v>1</x:v>
      </x:c>
      <x:c r="C37" s="80" t="n">
        <x:f>COUNTIFS('Paper Index'!$M$5:$M$67,A37,'Paper Index'!$N$5:$N$67,"important")+COUNTIFS('Paper Index'!$M$5:$M$67,A37,'Paper Index'!$N$5:$N$67,"read")</x:f>
        <x:v>0</x:v>
      </x:c>
    </x:row>
    <x:row r="38">
      <x:c r="A38" s="74" t="str">
        <x:v>pulse-shape-line-profile-background</x:v>
      </x:c>
      <x:c r="B38" s="80" t="n">
        <x:f>COUNTIF('Paper Index'!$M$5:$M$67,A38)</x:f>
        <x:v>2</x:v>
      </x:c>
      <x:c r="C38" s="80" t="n">
        <x:f>COUNTIFS('Paper Index'!$M$5:$M$67,A38,'Paper Index'!$N$5:$N$67,"important")+COUNTIFS('Paper Index'!$M$5:$M$67,A38,'Paper Index'!$N$5:$N$67,"read")</x:f>
        <x:v>0</x:v>
      </x:c>
    </x:row>
    <x:row r="39">
      <x:c r="A39" s="74" t="str">
        <x:v>reduced-power-broadening</x:v>
      </x:c>
      <x:c r="B39" s="80" t="n">
        <x:f>COUNTIF('Paper Index'!$M$5:$M$67,A39)</x:f>
        <x:v>1</x:v>
      </x:c>
      <x:c r="C39" s="80" t="n">
        <x:f>COUNTIFS('Paper Index'!$M$5:$M$67,A39,'Paper Index'!$N$5:$N$67,"important")+COUNTIFS('Paper Index'!$M$5:$M$67,A39,'Paper Index'!$N$5:$N$67,"read")</x:f>
        <x:v>0</x:v>
      </x:c>
    </x:row>
    <x:row r="40">
      <x:c r="A40" s="74" t="str">
        <x:v>shaped-qubit-pulses-background</x:v>
      </x:c>
      <x:c r="B40" s="80" t="n">
        <x:f>COUNTIF('Paper Index'!$M$5:$M$67,A40)</x:f>
        <x:v>1</x:v>
      </x:c>
      <x:c r="C40" s="80" t="n">
        <x:f>COUNTIFS('Paper Index'!$M$5:$M$67,A40,'Paper Index'!$N$5:$N$67,"important")+COUNTIFS('Paper Index'!$M$5:$M$67,A40,'Paper Index'!$N$5:$N$67,"read")</x:f>
        <x:v>0</x:v>
      </x:c>
    </x:row>
    <x:row r="41">
      <x:c r="A41" s="74" t="str">
        <x:v>spectral-resolution-limits</x:v>
      </x:c>
      <x:c r="B41" s="80" t="n">
        <x:f>COUNTIF('Paper Index'!$M$5:$M$67,A41)</x:f>
        <x:v>1</x:v>
      </x:c>
      <x:c r="C41" s="80" t="n">
        <x:f>COUNTIFS('Paper Index'!$M$5:$M$67,A41,'Paper Index'!$N$5:$N$67,"important")+COUNTIFS('Paper Index'!$M$5:$M$67,A41,'Paper Index'!$N$5:$N$67,"read")</x:f>
        <x:v>0</x:v>
      </x:c>
    </x:row>
    <x:row r="42">
      <x:c r="A42" s="74" t="str">
        <x:v>spectral-superresolution-quantum-sensing</x:v>
      </x:c>
      <x:c r="B42" s="80" t="n">
        <x:f>COUNTIF('Paper Index'!$M$5:$M$67,A42)</x:f>
        <x:v>1</x:v>
      </x:c>
      <x:c r="C42" s="80" t="n">
        <x:f>COUNTIFS('Paper Index'!$M$5:$M$67,A42,'Paper Index'!$N$5:$N$67,"important")+COUNTIFS('Paper Index'!$M$5:$M$67,A42,'Paper Index'!$N$5:$N$67,"read")</x:f>
        <x:v>0</x:v>
      </x:c>
    </x:row>
    <x:row r="43">
      <x:c r="A43" s="74" t="str">
        <x:v>superconducting-driven-echo-spectroscopy</x:v>
      </x:c>
      <x:c r="B43" s="80" t="n">
        <x:f>COUNTIF('Paper Index'!$M$5:$M$67,A43)</x:f>
        <x:v>1</x:v>
      </x:c>
      <x:c r="C43" s="80" t="n">
        <x:f>COUNTIFS('Paper Index'!$M$5:$M$67,A43,'Paper Index'!$N$5:$N$67,"important")+COUNTIFS('Paper Index'!$M$5:$M$67,A43,'Paper Index'!$N$5:$N$67,"read")</x:f>
        <x:v>0</x:v>
      </x:c>
    </x:row>
    <x:row r="44">
      <x:c r="A44" s="74" t="str">
        <x:v>superconducting-echo-noise-spectroscopy</x:v>
      </x:c>
      <x:c r="B44" s="80" t="n">
        <x:f>COUNTIF('Paper Index'!$M$5:$M$67,A44)</x:f>
        <x:v>1</x:v>
      </x:c>
      <x:c r="C44" s="80" t="n">
        <x:f>COUNTIFS('Paper Index'!$M$5:$M$67,A44,'Paper Index'!$N$5:$N$67,"important")+COUNTIFS('Paper Index'!$M$5:$M$67,A44,'Paper Index'!$N$5:$N$67,"read")</x:f>
        <x:v>0</x:v>
      </x:c>
    </x:row>
    <x:row r="45">
      <x:c r="A45" s="74" t="str">
        <x:v>terminology-and-contrast</x:v>
      </x:c>
      <x:c r="B45" s="80" t="n">
        <x:f>COUNTIF('Paper Index'!$M$5:$M$67,A45)</x:f>
        <x:v>1</x:v>
      </x:c>
      <x:c r="C45" s="80" t="n">
        <x:f>COUNTIFS('Paper Index'!$M$5:$M$67,A45,'Paper Index'!$N$5:$N$67,"important")+COUNTIFS('Paper Index'!$M$5:$M$67,A45,'Paper Index'!$N$5:$N$67,"read")</x:f>
        <x:v>0</x:v>
      </x:c>
    </x:row>
    <x:row r="46">
      <x:c r="A46" s="74" t="str">
        <x:v>ultimate-precision-quantum-nmr</x:v>
      </x:c>
      <x:c r="B46" s="80" t="n">
        <x:f>COUNTIF('Paper Index'!$M$5:$M$67,A46)</x:f>
        <x:v>1</x:v>
      </x:c>
      <x:c r="C46" s="80" t="n">
        <x:f>COUNTIFS('Paper Index'!$M$5:$M$67,A46,'Paper Index'!$N$5:$N$67,"important")+COUNTIFS('Paper Index'!$M$5:$M$67,A46,'Paper Index'!$N$5:$N$67,"read")</x:f>
        <x:v>0</x:v>
      </x:c>
    </x:row>
  </x:sheetData>
  <x:mergeCells>
    <x:mergeCell ref="A1:H1"/>
    <x:mergeCell ref="A2:H2"/>
    <x:mergeCell ref="D4:H4"/>
    <x:mergeCell ref="D5:H5"/>
    <x:mergeCell ref="D6:H6"/>
    <x:mergeCell ref="D7:H7"/>
    <x:mergeCell ref="D8:H8"/>
    <x:mergeCell ref="D9:H9"/>
    <x:mergeCell ref="D10:H10"/>
    <x:mergeCell ref="D11:H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46" hidden="0" customWidth="1"/>
    <x:col min="3" max="3" width="34" hidden="0" customWidth="1"/>
    <x:col min="4" max="4" width="9" hidden="0" customWidth="1"/>
    <x:col min="5" max="5" width="26" hidden="0" customWidth="1"/>
    <x:col min="6" max="6" width="42" hidden="0" customWidth="1"/>
    <x:col min="7" max="7" width="30" hidden="0" customWidth="1"/>
    <x:col min="8" max="8" width="15" hidden="0" customWidth="1"/>
    <x:col min="9" max="9" width="18" hidden="0" customWidth="1"/>
    <x:col min="10" max="10" width="18" hidden="0" customWidth="1"/>
    <x:col min="11" max="11" width="22" hidden="0" customWidth="1"/>
    <x:col min="12" max="12" width="24" hidden="0" customWidth="1"/>
    <x:col min="13" max="13" width="26" hidden="0" customWidth="1"/>
    <x:col min="14" max="14" width="16" hidden="0" customWidth="1"/>
    <x:col min="15" max="15" width="34" hidden="0" customWidth="1"/>
    <x:col min="16" max="16" width="42" hidden="0" customWidth="1"/>
    <x:col min="17" max="17" width="38" hidden="0" customWidth="1"/>
    <x:col min="18" max="18" width="22" hidden="0" customWidth="1"/>
  </x:cols>
  <x:sheetData>
    <x:row r="1" ht="32" customHeight="1">
      <x:c r="A1" s="3" t="str">
        <x:v>Paper Index</x:v>
      </x:c>
      <x:c r="B1" s="3"/>
      <x:c r="C1" s="3"/>
      <x:c r="D1" s="3"/>
      <x:c r="E1" s="3"/>
      <x:c r="F1" s="3"/>
      <x:c r="G1" s="3"/>
      <x:c r="H1" s="3"/>
      <x:c r="I1" s="3"/>
      <x:c r="J1" s="3"/>
      <x:c r="K1" s="3"/>
      <x:c r="L1" s="3"/>
      <x:c r="M1" s="3"/>
      <x:c r="N1" s="3"/>
      <x:c r="O1" s="3"/>
      <x:c r="P1" s="3"/>
      <x:c r="Q1" s="3"/>
      <x:c r="R1" s="3"/>
    </x:row>
    <x:row r="2" ht="30" customHeight="1">
      <x:c r="A2" s="7" t="str">
        <x:v>One row per deduplicated record. Use the filters to isolate manuscript citations, database-only papers, reading status, or category.</x:v>
      </x:c>
      <x:c r="B2" s="7"/>
      <x:c r="C2" s="7"/>
      <x:c r="D2" s="7"/>
      <x:c r="E2" s="7"/>
      <x:c r="F2" s="7"/>
      <x:c r="G2" s="7"/>
      <x:c r="H2" s="7"/>
      <x:c r="I2" s="7"/>
      <x:c r="J2" s="7"/>
      <x:c r="K2" s="7"/>
      <x:c r="L2" s="7"/>
      <x:c r="M2" s="7"/>
      <x:c r="N2" s="7"/>
      <x:c r="O2" s="7"/>
      <x:c r="P2" s="7"/>
      <x:c r="Q2" s="7"/>
      <x:c r="R2" s="7"/>
    </x:row>
    <x:row r="4" ht="30" customHeight="1">
      <x:c r="A4" s="82" t="str">
        <x:v>Record ID</x:v>
      </x:c>
      <x:c r="B4" s="82" t="str">
        <x:v>Title</x:v>
      </x:c>
      <x:c r="C4" s="82" t="str">
        <x:v>Authors</x:v>
      </x:c>
      <x:c r="D4" s="82" t="str">
        <x:v>Year</x:v>
      </x:c>
      <x:c r="E4" s="82" t="str">
        <x:v>Venue</x:v>
      </x:c>
      <x:c r="F4" s="82" t="str">
        <x:v>Article Link</x:v>
      </x:c>
      <x:c r="G4" s="82" t="str">
        <x:v>DOI</x:v>
      </x:c>
      <x:c r="H4" s="82" t="str">
        <x:v>arXiv ID</x:v>
      </x:c>
      <x:c r="I4" s="82" t="str">
        <x:v>Cited in Manuscript</x:v>
      </x:c>
      <x:c r="J4" s="82" t="str">
        <x:v>Active Bibliography</x:v>
      </x:c>
      <x:c r="K4" s="82" t="str">
        <x:v>Scientific Assistant DB</x:v>
      </x:c>
      <x:c r="L4" s="82" t="str">
        <x:v>Citation Key(s)</x:v>
      </x:c>
      <x:c r="M4" s="82" t="str">
        <x:v>Category</x:v>
      </x:c>
      <x:c r="N4" s="82" t="str">
        <x:v>Reading Status</x:v>
      </x:c>
      <x:c r="O4" s="82" t="str">
        <x:v>Tags</x:v>
      </x:c>
      <x:c r="P4" s="82" t="str">
        <x:v>Notes</x:v>
      </x:c>
      <x:c r="Q4" s="82" t="str">
        <x:v>Scope Flag</x:v>
      </x:c>
      <x:c r="R4" s="82" t="str">
        <x:v>Record Type</x:v>
      </x:c>
    </x:row>
    <x:row r="5" ht="46" customHeight="1">
      <x:c r="A5" s="82" t="str">
        <x:v>PN-001</x:v>
      </x:c>
      <x:c r="B5" s="84" t="str">
        <x:v>Overcoming Frequency Resolution Limits Using a Solid-State Spin Quantum Sensor</x:v>
      </x:c>
      <x:c r="C5" s="84" t="str">
        <x:v>Cao, Qingyun; Genov, Genko T.; Chu, Yaoming; Cai, Jianming; Liu, Yu; Retzker, Alex; Jelezko, Fedor</x:v>
      </x:c>
      <x:c r="D5" s="83" t="n">
        <x:v>2025</x:v>
      </x:c>
      <x:c r="E5" s="84" t="str">
        <x:v>Physical Review Letters</x:v>
      </x:c>
      <x:c r="F5" s="85" t="str">
        <x:v>http://dx.doi.org/10.1103/llfg-s4rr</x:v>
      </x:c>
      <x:c r="G5" s="85" t="str">
        <x:v>10.1103/llfg-s4rr</x:v>
      </x:c>
      <x:c r="H5" s="85" t="str">
        <x:v>2506.20416</x:v>
      </x:c>
      <x:c r="I5" s="86" t="str">
        <x:v>Yes</x:v>
      </x:c>
      <x:c r="J5" s="86" t="str">
        <x:v>Yes</x:v>
      </x:c>
      <x:c r="K5" s="86" t="str">
        <x:v>Yes</x:v>
      </x:c>
      <x:c r="L5" s="84" t="str">
        <x:v>Cao_2025</x:v>
      </x:c>
      <x:c r="M5" s="84" t="str">
        <x:v>spectral-superresolution-quantum-sensing</x:v>
      </x:c>
      <x:c r="N5" s="84" t="str">
        <x:v>to-read</x:v>
      </x:c>
      <x:c r="O5" s="84" t="str">
        <x:v>frequency-resolution, quantum-sensing, retzker, solid-state-spin, spectroscopy, superresolution, t2-limit</x:v>
      </x:c>
      <x:c r="P5" s="84" t="str">
        <x:v>Very relevant to the “break the apparent resolution limit” theme; not superconducting-specific, but conceptually close to spectroscopy beyond naive linewidth/coherence constraints.</x:v>
      </x:c>
      <x:c r="Q5" s="84" t="str"/>
      <x:c r="R5" s="84" t="str">
        <x:v>article, database paper</x:v>
      </x:c>
    </x:row>
    <x:row r="6" ht="46" customHeight="1">
      <x:c r="A6" s="82" t="str">
        <x:v>PN-002</x:v>
      </x:c>
      <x:c r="B6" s="84" t="str">
        <x:v>Enhanced coherence of all-nitride superconducting qubits epitaxially grown on silicon substrate</x:v>
      </x:c>
      <x:c r="C6" s="84" t="str">
        <x:v>Kim, Sunmi; Terai, Hirotaka; Yamashita, Taro; Qiu, Wei; Fuse, Tomoko; Yoshihara, Fumiki; Ashhab, Sahel; Inomata, Kunihiro; Semba, Kouichi</x:v>
      </x:c>
      <x:c r="D6" s="83" t="n">
        <x:v>2021</x:v>
      </x:c>
      <x:c r="E6" s="84" t="str">
        <x:v>Communications Materials</x:v>
      </x:c>
      <x:c r="F6" s="85" t="str">
        <x:v>https://doi.org/10.1038/s43246-021-00204-4</x:v>
      </x:c>
      <x:c r="G6" s="85" t="str">
        <x:v>10.1038/s43246-021-00204-4</x:v>
      </x:c>
      <x:c r="H6" s="85" t="str"/>
      <x:c r="I6" s="86" t="str">
        <x:v>Yes</x:v>
      </x:c>
      <x:c r="J6" s="86" t="str">
        <x:v>Yes</x:v>
      </x:c>
      <x:c r="K6" s="86" t="str">
        <x:v>No</x:v>
      </x:c>
      <x:c r="L6" s="84" t="str">
        <x:v>spec123</x:v>
      </x:c>
      <x:c r="M6" s="84" t="str"/>
      <x:c r="N6" s="84" t="str"/>
      <x:c r="O6" s="84" t="str"/>
      <x:c r="P6" s="84" t="str"/>
      <x:c r="Q6" s="84" t="str"/>
      <x:c r="R6" s="84" t="str">
        <x:v>article</x:v>
      </x:c>
    </x:row>
    <x:row r="7" ht="46" customHeight="1">
      <x:c r="A7" s="82" t="str">
        <x:v>PN-003</x:v>
      </x:c>
      <x:c r="B7" s="84" t="str">
        <x:v>Coherent control of a hybrid superconducting circuit made with graphene-based van der Waals heterostructures</x:v>
      </x:c>
      <x:c r="C7" s="84" t="str">
        <x:v>Wang, Joel I-Jan; Rodan-Legrain, Daniel; Bretheau, Landry; Campbell, Daniel L.; Kannan, Bharath; Kim, David; Kjaergaard, Morten; Krantz, Philip; Samach, Gabriel O.; Yan, Fei; Yoder, Jonilyn L.; Watanabe, Kenji; Taniguchi, Takashi; Orlando, Terry P.; Gustavsson, Simon; Jarillo-Herrero, Pablo; Oliver, William D.</x:v>
      </x:c>
      <x:c r="D7" s="83" t="n">
        <x:v>2019</x:v>
      </x:c>
      <x:c r="E7" s="84" t="str">
        <x:v>Nature Nanotechnology</x:v>
      </x:c>
      <x:c r="F7" s="85" t="str">
        <x:v>https://doi.org/10.1038/s41565-018-0329-2</x:v>
      </x:c>
      <x:c r="G7" s="85" t="str">
        <x:v>10.1038/s41565-018-0329-2</x:v>
      </x:c>
      <x:c r="H7" s="85" t="str"/>
      <x:c r="I7" s="86" t="str">
        <x:v>Yes</x:v>
      </x:c>
      <x:c r="J7" s="86" t="str">
        <x:v>Yes</x:v>
      </x:c>
      <x:c r="K7" s="86" t="str">
        <x:v>No</x:v>
      </x:c>
      <x:c r="L7" s="84" t="str">
        <x:v>wang_coherent_2019</x:v>
      </x:c>
      <x:c r="M7" s="84" t="str"/>
      <x:c r="N7" s="84" t="str"/>
      <x:c r="O7" s="84" t="str"/>
      <x:c r="P7" s="84" t="str"/>
      <x:c r="Q7" s="84" t="str"/>
      <x:c r="R7" s="84" t="str">
        <x:v>article</x:v>
      </x:c>
    </x:row>
    <x:row r="8" ht="46" customHeight="1">
      <x:c r="A8" s="82" t="str">
        <x:v>PN-004</x:v>
      </x:c>
      <x:c r="B8" s="84" t="str">
        <x:v>High-Coherence Fluxonium Qubit</x:v>
      </x:c>
      <x:c r="C8" s="84" t="str">
        <x:v>Nguyen, Long B.; Lin, Yen-Hsiang; Somoroff, Aaron; Mencia, Raymond; Grabon, Nicholas; Manucharyan, Vladimir E.</x:v>
      </x:c>
      <x:c r="D8" s="83" t="n">
        <x:v>2019</x:v>
      </x:c>
      <x:c r="E8" s="84" t="str">
        <x:v>Phys. Rev. X</x:v>
      </x:c>
      <x:c r="F8" s="85" t="str">
        <x:v>https://link.aps.org/doi/10.1103/PhysRevX.9.041041</x:v>
      </x:c>
      <x:c r="G8" s="85" t="str">
        <x:v>10.1103/PhysRevX.9.041041</x:v>
      </x:c>
      <x:c r="H8" s="85" t="str"/>
      <x:c r="I8" s="86" t="str">
        <x:v>Yes</x:v>
      </x:c>
      <x:c r="J8" s="86" t="str">
        <x:v>Yes</x:v>
      </x:c>
      <x:c r="K8" s="86" t="str">
        <x:v>No</x:v>
      </x:c>
      <x:c r="L8" s="84" t="str">
        <x:v>PhysRevX.9.041041</x:v>
      </x:c>
      <x:c r="M8" s="84" t="str"/>
      <x:c r="N8" s="84" t="str"/>
      <x:c r="O8" s="84" t="str"/>
      <x:c r="P8" s="84" t="str"/>
      <x:c r="Q8" s="84" t="str"/>
      <x:c r="R8" s="84" t="str">
        <x:v>article</x:v>
      </x:c>
    </x:row>
    <x:row r="9" ht="46" customHeight="1">
      <x:c r="A9" s="82" t="str">
        <x:v>PN-005</x:v>
      </x:c>
      <x:c r="B9" s="84" t="str">
        <x:v>Limits on Spectral Resolution Measurements by Quantum Probes</x:v>
      </x:c>
      <x:c r="C9" s="84" t="str">
        <x:v>Rotem, Amit; Gefen, Tuvia; Oviedo-Casado, Santiago; Prior, Javier; Schmitt, Simon; Burak, Yoram; McGuiness, Liam; Jelezko, Fedor; Retzker, Alex</x:v>
      </x:c>
      <x:c r="D9" s="83" t="n">
        <x:v>2019</x:v>
      </x:c>
      <x:c r="E9" s="84" t="str">
        <x:v>Phys. Rev. Lett.</x:v>
      </x:c>
      <x:c r="F9" s="85" t="str">
        <x:v>https://link.aps.org/doi/10.1103/PhysRevLett.122.060503</x:v>
      </x:c>
      <x:c r="G9" s="85" t="str">
        <x:v>10.1103/PhysRevLett.122.060503</x:v>
      </x:c>
      <x:c r="H9" s="85" t="str">
        <x:v>1707.01902</x:v>
      </x:c>
      <x:c r="I9" s="86" t="str">
        <x:v>Yes</x:v>
      </x:c>
      <x:c r="J9" s="86" t="str">
        <x:v>Yes</x:v>
      </x:c>
      <x:c r="K9" s="86" t="str">
        <x:v>Yes</x:v>
      </x:c>
      <x:c r="L9" s="84" t="str">
        <x:v>PhysRevLett.122.060503</x:v>
      </x:c>
      <x:c r="M9" s="84" t="str">
        <x:v>spectral-resolution-limits</x:v>
      </x:c>
      <x:c r="N9" s="84" t="str">
        <x:v>to-read</x:v>
      </x:c>
      <x:c r="O9" s="84" t="str">
        <x:v>cramer-rao, frequency-resolution, nano-nmr, quantum-probes, retzker, superresolution, t2-limit</x:v>
      </x:c>
      <x:c r="P9" s="84" t="str">
        <x:v>Important for literature review framing: challenges simple claims that two-frequency resolution is absolutely fixed by a single decay/coherence timescale.</x:v>
      </x:c>
      <x:c r="Q9" s="84" t="str"/>
      <x:c r="R9" s="84" t="str">
        <x:v>article, database paper</x:v>
      </x:c>
    </x:row>
    <x:row r="10" ht="46" customHeight="1">
      <x:c r="A10" s="82" t="str">
        <x:v>PN-006</x:v>
      </x:c>
      <x:c r="B10" s="84" t="str">
        <x:v>Overcoming resolution limits with quantum sensing</x:v>
      </x:c>
      <x:c r="C10" s="84" t="str">
        <x:v>Gefen, T.; Rotem, A.; Retzker, A.</x:v>
      </x:c>
      <x:c r="D10" s="83" t="n">
        <x:v>2019</x:v>
      </x:c>
      <x:c r="E10" s="84" t="str">
        <x:v>Nature Communications</x:v>
      </x:c>
      <x:c r="F10" s="85" t="str">
        <x:v>https://doi.org/10.1038/s41467-019-12817-y</x:v>
      </x:c>
      <x:c r="G10" s="85" t="str">
        <x:v>10.1038/s41467-019-12817-y</x:v>
      </x:c>
      <x:c r="H10" s="85" t="str"/>
      <x:c r="I10" s="86" t="str">
        <x:v>Yes</x:v>
      </x:c>
      <x:c r="J10" s="86" t="str">
        <x:v>Yes</x:v>
      </x:c>
      <x:c r="K10" s="86" t="str">
        <x:v>No</x:v>
      </x:c>
      <x:c r="L10" s="84" t="str">
        <x:v>retzker_2</x:v>
      </x:c>
      <x:c r="M10" s="84" t="str"/>
      <x:c r="N10" s="84" t="str"/>
      <x:c r="O10" s="84" t="str"/>
      <x:c r="P10" s="84" t="str"/>
      <x:c r="Q10" s="84" t="str"/>
      <x:c r="R10" s="84" t="str">
        <x:v>article</x:v>
      </x:c>
    </x:row>
    <x:row r="11" ht="46" customHeight="1">
      <x:c r="A11" s="82" t="str">
        <x:v>PN-007</x:v>
      </x:c>
      <x:c r="B11" s="84" t="str">
        <x:v>Power narrowing: counteracting Doppler broadening in two-color transitions</x:v>
      </x:c>
      <x:c r="C11" s="84" t="str">
        <x:v>Finkelstein, Ran; Lahad, Ohr; Michel, Ohad; Davidson, Omri; Poem, Eilon; Firstenberg, Ofer</x:v>
      </x:c>
      <x:c r="D11" s="83" t="n">
        <x:v>2019</x:v>
      </x:c>
      <x:c r="E11" s="84" t="str">
        <x:v>New Journal of Physics</x:v>
      </x:c>
      <x:c r="F11" s="85" t="str">
        <x:v>https://doi.org/10.1088/1367-2630/ab4624</x:v>
      </x:c>
      <x:c r="G11" s="85" t="str">
        <x:v>10.1088/1367-2630/ab4624</x:v>
      </x:c>
      <x:c r="H11" s="85" t="str"/>
      <x:c r="I11" s="86" t="str">
        <x:v>Yes</x:v>
      </x:c>
      <x:c r="J11" s="86" t="str">
        <x:v>Yes</x:v>
      </x:c>
      <x:c r="K11" s="86" t="str">
        <x:v>Yes</x:v>
      </x:c>
      <x:c r="L11" s="84" t="str">
        <x:v>finkelstein_power_2019</x:v>
      </x:c>
      <x:c r="M11" s="84" t="str">
        <x:v>terminology-and-contrast</x:v>
      </x:c>
      <x:c r="N11" s="84" t="str">
        <x:v>to-read</x:v>
      </x:c>
      <x:c r="O11" s="84" t="str">
        <x:v>contrast, doppler-broadening, line-narrowing, power-narrowing, spectroscopy, two-color-transitions</x:v>
      </x:c>
      <x:c r="P11" s="84" t="str">
        <x:v>Important for literature review terminology: same phrase, different mechanism from Lorentzian-pulse power narrowing. Useful to avoid conflating meanings.</x:v>
      </x:c>
      <x:c r="Q11" s="84" t="str"/>
      <x:c r="R11" s="84" t="str">
        <x:v>article, database paper</x:v>
      </x:c>
    </x:row>
    <x:row r="12" ht="46" customHeight="1">
      <x:c r="A12" s="82" t="str">
        <x:v>PN-008</x:v>
      </x:c>
      <x:c r="B12" s="84" t="str">
        <x:v>ac Stark shifts of dark resonances probed with Ramsey spectroscopy</x:v>
      </x:c>
      <x:c r="C12" s="84" t="str">
        <x:v>Pollock, J. W.; Yudin, V. I.; Shuker, M.; Basalaev, M. Yu.; Taichenachev, A. V.; Liu, X.; Kitching, J.; Donley, E. A.</x:v>
      </x:c>
      <x:c r="D12" s="83" t="n">
        <x:v>2018</x:v>
      </x:c>
      <x:c r="E12" s="84" t="str">
        <x:v>Phys. Rev. A</x:v>
      </x:c>
      <x:c r="F12" s="85" t="str">
        <x:v>https://link.aps.org/doi/10.1103/PhysRevA.98.053424</x:v>
      </x:c>
      <x:c r="G12" s="85" t="str">
        <x:v>10.1103/PhysRevA.98.053424</x:v>
      </x:c>
      <x:c r="H12" s="85" t="str"/>
      <x:c r="I12" s="86" t="str">
        <x:v>Yes</x:v>
      </x:c>
      <x:c r="J12" s="86" t="str">
        <x:v>Yes</x:v>
      </x:c>
      <x:c r="K12" s="86" t="str">
        <x:v>No</x:v>
      </x:c>
      <x:c r="L12" s="84" t="str">
        <x:v>PhysRevA.98.053424</x:v>
      </x:c>
      <x:c r="M12" s="84" t="str"/>
      <x:c r="N12" s="84" t="str"/>
      <x:c r="O12" s="84" t="str"/>
      <x:c r="P12" s="84" t="str"/>
      <x:c r="Q12" s="84" t="str"/>
      <x:c r="R12" s="84" t="str">
        <x:v>article</x:v>
      </x:c>
    </x:row>
    <x:row r="13" ht="46" customHeight="1">
      <x:c r="A13" s="82" t="str">
        <x:v>PN-009</x:v>
      </x:c>
      <x:c r="B13" s="84" t="str">
        <x:v>Demonstration of qubit operations below a rigorous fault tolerance threshold with gate set tomography</x:v>
      </x:c>
      <x:c r="C13" s="84" t="str">
        <x:v>Blume-Kohout, Robin; Gamble, John King; Nielsen, Erik; Rudinger, Kenneth; Mizrahi, Jonathan; Fortier, Kevin; Maunz, Peter</x:v>
      </x:c>
      <x:c r="D13" s="83" t="n">
        <x:v>2017</x:v>
      </x:c>
      <x:c r="E13" s="84" t="str">
        <x:v>Nature Communications</x:v>
      </x:c>
      <x:c r="F13" s="85" t="str">
        <x:v>https://doi.org/10.1038/ncomms14485</x:v>
      </x:c>
      <x:c r="G13" s="85" t="str">
        <x:v>10.1038/ncomms14485</x:v>
      </x:c>
      <x:c r="H13" s="85" t="str"/>
      <x:c r="I13" s="86" t="str">
        <x:v>Yes</x:v>
      </x:c>
      <x:c r="J13" s="86" t="str">
        <x:v>Yes</x:v>
      </x:c>
      <x:c r="K13" s="86" t="str">
        <x:v>No</x:v>
      </x:c>
      <x:c r="L13" s="84" t="str">
        <x:v>diamond</x:v>
      </x:c>
      <x:c r="M13" s="84" t="str"/>
      <x:c r="N13" s="84" t="str"/>
      <x:c r="O13" s="84" t="str"/>
      <x:c r="P13" s="84" t="str"/>
      <x:c r="Q13" s="84" t="str"/>
      <x:c r="R13" s="84" t="str">
        <x:v>article</x:v>
      </x:c>
    </x:row>
    <x:row r="14" ht="46" customHeight="1">
      <x:c r="A14" s="82" t="str">
        <x:v>PN-010</x:v>
      </x:c>
      <x:c r="B14" s="84" t="str">
        <x:v>Power narrowing in coherent atomic excitation by smoothly shaped pulsed fields</x:v>
      </x:c>
      <x:c r="C14" s="84" t="str">
        <x:v>Boradjiev, Iavor I.; Vitanov, Nikolay V.</x:v>
      </x:c>
      <x:c r="D14" s="83" t="n">
        <x:v>2013</x:v>
      </x:c>
      <x:c r="E14" s="84" t="str">
        <x:v>Optics Communications</x:v>
      </x:c>
      <x:c r="F14" s="85" t="str">
        <x:v>https://www.sciencedirect.com/science/article/pii/S0030401812010486</x:v>
      </x:c>
      <x:c r="G14" s="85" t="str">
        <x:v>10.1016/j.optcom.2012.09.040</x:v>
      </x:c>
      <x:c r="H14" s="85" t="str"/>
      <x:c r="I14" s="86" t="str">
        <x:v>Yes</x:v>
      </x:c>
      <x:c r="J14" s="86" t="str">
        <x:v>Yes</x:v>
      </x:c>
      <x:c r="K14" s="86" t="str">
        <x:v>Yes</x:v>
      </x:c>
      <x:c r="L14" s="84" t="str">
        <x:v>boradjiev_power_2013</x:v>
      </x:c>
      <x:c r="M14" s="84" t="str">
        <x:v>power-narrowing-theory-precursor</x:v>
      </x:c>
      <x:c r="N14" s="84" t="str">
        <x:v>to-read</x:v>
      </x:c>
      <x:c r="O14" s="84" t="str">
        <x:v>Adiabatic evolution, Coherent excitation, Coherent population return, Power narrowing, Pulse shapes, line-profile, power-narrowing, shaped-pulses, spectroscopy, theory, two-state-systems, vitanov</x:v>
      </x:c>
      <x:c r="P14" s="84" t="str">
        <x:v>Important cited reference: likely the key theoretical ancestor of the PRL power-narrowing result. Read before/with paper 25.</x:v>
      </x:c>
      <x:c r="Q14" s="84" t="str"/>
      <x:c r="R14" s="84" t="str">
        <x:v>article, database paper</x:v>
      </x:c>
    </x:row>
    <x:row r="15" ht="46" customHeight="1">
      <x:c r="A15" s="82" t="str">
        <x:v>PN-011</x:v>
      </x:c>
      <x:c r="B15" s="84" t="str">
        <x:v>Observation of High Coherence in Josephson Junction Qubits Measured in a Three-Dimensional Circuit QED Architecture</x:v>
      </x:c>
      <x:c r="C15" s="84" t="str">
        <x:v>Paik, Hanhee; Schuster, D. I.; Bishop, Lev S.; Kirchmair, G.; Catelani, G.; Sears, A. P.; Johnson, B. R.; Reagor, M. J.; Frunzio, L.; Glazman, L. I.; Girvin, S. M.; Devoret, M. H.; Schoelkopf, R. J.</x:v>
      </x:c>
      <x:c r="D15" s="83" t="n">
        <x:v>2011</x:v>
      </x:c>
      <x:c r="E15" s="84" t="str">
        <x:v>Phys. Rev. Lett.</x:v>
      </x:c>
      <x:c r="F15" s="85" t="str">
        <x:v>https://link.aps.org/doi/10.1103/PhysRevLett.107.240501</x:v>
      </x:c>
      <x:c r="G15" s="85" t="str">
        <x:v>10.1103/PhysRevLett.107.240501</x:v>
      </x:c>
      <x:c r="H15" s="85" t="str"/>
      <x:c r="I15" s="86" t="str">
        <x:v>Yes</x:v>
      </x:c>
      <x:c r="J15" s="86" t="str">
        <x:v>Yes</x:v>
      </x:c>
      <x:c r="K15" s="86" t="str">
        <x:v>No</x:v>
      </x:c>
      <x:c r="L15" s="84" t="str">
        <x:v>PhysRevLett.107.240501</x:v>
      </x:c>
      <x:c r="M15" s="84" t="str"/>
      <x:c r="N15" s="84" t="str"/>
      <x:c r="O15" s="84" t="str"/>
      <x:c r="P15" s="84" t="str"/>
      <x:c r="Q15" s="84" t="str"/>
      <x:c r="R15" s="84" t="str">
        <x:v>article</x:v>
      </x:c>
    </x:row>
    <x:row r="16" ht="46" customHeight="1">
      <x:c r="A16" s="82" t="str">
        <x:v>PN-012</x:v>
      </x:c>
      <x:c r="B16" s="84" t="str">
        <x:v>Long-Lived Coherences for Homogeneous Line Narrowing in Spectroscopy</x:v>
      </x:c>
      <x:c r="C16" s="84" t="str">
        <x:v>Sarkar, Riddhiman; Ahuja, Puneet; Vasos, Paul R.; Bodenhausen, Geoffrey</x:v>
      </x:c>
      <x:c r="D16" s="83" t="n">
        <x:v>2010</x:v>
      </x:c>
      <x:c r="E16" s="84" t="str">
        <x:v>Phys. Rev. Lett.</x:v>
      </x:c>
      <x:c r="F16" s="85" t="str">
        <x:v>https://link.aps.org/doi/10.1103/PhysRevLett.104.053001</x:v>
      </x:c>
      <x:c r="G16" s="85" t="str">
        <x:v>10.1103/PhysRevLett.104.053001</x:v>
      </x:c>
      <x:c r="H16" s="85" t="str"/>
      <x:c r="I16" s="86" t="str">
        <x:v>Yes</x:v>
      </x:c>
      <x:c r="J16" s="86" t="str">
        <x:v>Yes</x:v>
      </x:c>
      <x:c r="K16" s="86" t="str">
        <x:v>No</x:v>
      </x:c>
      <x:c r="L16" s="84" t="str">
        <x:v>PhysRevLett.104.053001</x:v>
      </x:c>
      <x:c r="M16" s="84" t="str"/>
      <x:c r="N16" s="84" t="str"/>
      <x:c r="O16" s="84" t="str"/>
      <x:c r="P16" s="84" t="str"/>
      <x:c r="Q16" s="84" t="str"/>
      <x:c r="R16" s="84" t="str">
        <x:v>article</x:v>
      </x:c>
    </x:row>
    <x:row r="17" ht="46" customHeight="1">
      <x:c r="A17" s="82" t="str">
        <x:v>PN-013</x:v>
      </x:c>
      <x:c r="B17" s="84" t="str">
        <x:v>Charge-insensitive qubit design derived from the Cooper pair box</x:v>
      </x:c>
      <x:c r="C17" s="84" t="str">
        <x:v>Koch, Jens; Yu, Terri M.; Gambetta, Jay; Houck, A. A.; Schuster, D. I.; Majer, J.; Blais, Alexandre; Devoret, M. H.; Girvin, S. M.; Schoelkopf, R. J.</x:v>
      </x:c>
      <x:c r="D17" s="83" t="n">
        <x:v>2007</x:v>
      </x:c>
      <x:c r="E17" s="84" t="str">
        <x:v>Phys. Rev. A</x:v>
      </x:c>
      <x:c r="F17" s="85" t="str">
        <x:v>https://link.aps.org/doi/10.1103/PhysRevA.76.042319</x:v>
      </x:c>
      <x:c r="G17" s="85" t="str">
        <x:v>10.1103/PhysRevA.76.042319</x:v>
      </x:c>
      <x:c r="H17" s="85" t="str"/>
      <x:c r="I17" s="86" t="str">
        <x:v>Yes</x:v>
      </x:c>
      <x:c r="J17" s="86" t="str">
        <x:v>Yes</x:v>
      </x:c>
      <x:c r="K17" s="86" t="str">
        <x:v>No</x:v>
      </x:c>
      <x:c r="L17" s="84" t="str">
        <x:v>PhysRevA.76.042319</x:v>
      </x:c>
      <x:c r="M17" s="84" t="str"/>
      <x:c r="N17" s="84" t="str"/>
      <x:c r="O17" s="84" t="str"/>
      <x:c r="P17" s="84" t="str"/>
      <x:c r="Q17" s="84" t="str"/>
      <x:c r="R17" s="84" t="str">
        <x:v>article</x:v>
      </x:c>
    </x:row>
    <x:row r="18" ht="46" customHeight="1">
      <x:c r="A18" s="82" t="str">
        <x:v>PN-014</x:v>
      </x:c>
      <x:c r="B18" s="84" t="str">
        <x:v>Dynamics of Loschmidt echoes and fidelity decay</x:v>
      </x:c>
      <x:c r="C18" s="84" t="str">
        <x:v>Gorin, Thomas; Prosen, Tomaž; Seligman, Thomas H.; Žnidarič, Marko</x:v>
      </x:c>
      <x:c r="D18" s="83" t="n">
        <x:v>2006</x:v>
      </x:c>
      <x:c r="E18" s="84" t="str">
        <x:v>Physics Reports</x:v>
      </x:c>
      <x:c r="F18" s="85" t="str">
        <x:v>http://dx.doi.org/10.1016/j.physrep.2006.09.003</x:v>
      </x:c>
      <x:c r="G18" s="85" t="str">
        <x:v>10.1016/j.physrep.2006.09.003</x:v>
      </x:c>
      <x:c r="H18" s="85" t="str"/>
      <x:c r="I18" s="86" t="str">
        <x:v>Yes</x:v>
      </x:c>
      <x:c r="J18" s="86" t="str">
        <x:v>Yes</x:v>
      </x:c>
      <x:c r="K18" s="86" t="str">
        <x:v>No</x:v>
      </x:c>
      <x:c r="L18" s="84" t="str">
        <x:v>Gorin_2006</x:v>
      </x:c>
      <x:c r="M18" s="84" t="str"/>
      <x:c r="N18" s="84" t="str"/>
      <x:c r="O18" s="84" t="str"/>
      <x:c r="P18" s="84" t="str"/>
      <x:c r="Q18" s="84" t="str"/>
      <x:c r="R18" s="84" t="str">
        <x:v>article</x:v>
      </x:c>
    </x:row>
    <x:row r="19" ht="46" customHeight="1">
      <x:c r="A19" s="82" t="str">
        <x:v>PN-015</x:v>
      </x:c>
      <x:c r="B19" s="84" t="str">
        <x:v>Cavity quantum electrodynamics for superconducting electrical circuits: An architecture for quantum computation</x:v>
      </x:c>
      <x:c r="C19" s="84" t="str">
        <x:v>Blais, Alexandre; Huang, Ren-Shou; Wallraff, Andreas; Girvin, S. M.; Schoelkopf, R. J.</x:v>
      </x:c>
      <x:c r="D19" s="83" t="n">
        <x:v>2004</x:v>
      </x:c>
      <x:c r="E19" s="84" t="str">
        <x:v>Phys. Rev. A</x:v>
      </x:c>
      <x:c r="F19" s="85" t="str">
        <x:v>https://link.aps.org/doi/10.1103/PhysRevA.69.062320</x:v>
      </x:c>
      <x:c r="G19" s="85" t="str">
        <x:v>10.1103/PhysRevA.69.062320</x:v>
      </x:c>
      <x:c r="H19" s="85" t="str"/>
      <x:c r="I19" s="86" t="str">
        <x:v>Yes</x:v>
      </x:c>
      <x:c r="J19" s="86" t="str">
        <x:v>Yes</x:v>
      </x:c>
      <x:c r="K19" s="86" t="str">
        <x:v>No</x:v>
      </x:c>
      <x:c r="L19" s="84" t="str">
        <x:v>PhysRevA.69.062320</x:v>
      </x:c>
      <x:c r="M19" s="84" t="str"/>
      <x:c r="N19" s="84" t="str"/>
      <x:c r="O19" s="84" t="str"/>
      <x:c r="P19" s="84" t="str"/>
      <x:c r="Q19" s="84" t="str"/>
      <x:c r="R19" s="84" t="str">
        <x:v>article</x:v>
      </x:c>
    </x:row>
    <x:row r="20" ht="46" customHeight="1">
      <x:c r="A20" s="82" t="str">
        <x:v>PN-016</x:v>
      </x:c>
      <x:c r="B20" s="84" t="str">
        <x:v>Coherent excitation of a two-state system by a Gaussian field</x:v>
      </x:c>
      <x:c r="C20" s="84" t="str">
        <x:v>G. S. Vasilev, Nikolay V. Vitanov</x:v>
      </x:c>
      <x:c r="D20" s="83" t="n">
        <x:v>2004</x:v>
      </x:c>
      <x:c r="E20" s="84" t="str">
        <x:v>Physical Review A</x:v>
      </x:c>
      <x:c r="F20" s="85" t="str">
        <x:v>https://link.aps.org/doi/10.1103/PhysRevA.70.053407</x:v>
      </x:c>
      <x:c r="G20" s="85" t="str">
        <x:v>10.1103/PhysRevA.70.053407</x:v>
      </x:c>
      <x:c r="H20" s="85" t="str"/>
      <x:c r="I20" s="86" t="str">
        <x:v>Yes</x:v>
      </x:c>
      <x:c r="J20" s="86" t="str">
        <x:v>Yes</x:v>
      </x:c>
      <x:c r="K20" s="86" t="str">
        <x:v>Yes</x:v>
      </x:c>
      <x:c r="L20" s="84" t="str">
        <x:v>PhysRevA.70.053407</x:v>
      </x:c>
      <x:c r="M20" s="84" t="str">
        <x:v>pulse-shape-line-profile-background</x:v>
      </x:c>
      <x:c r="N20" s="84" t="str">
        <x:v>to-read</x:v>
      </x:c>
      <x:c r="O20" s="84" t="str">
        <x:v>gaussian-pulses, power-broadening, pulse-shaping, spectroscopy, two-state-systems, vitanov</x:v>
      </x:c>
      <x:c r="P20" s="84" t="str">
        <x:v>Useful contrast case for Lorentzian/root-Lorentzian pulses: Gaussian smooth pulses reduce broadening relative to rectangular pulses but do not give the same power-narrowing behavior.</x:v>
      </x:c>
      <x:c r="Q20" s="84" t="str"/>
      <x:c r="R20" s="84" t="str">
        <x:v>article, database paper</x:v>
      </x:c>
    </x:row>
    <x:row r="21" ht="46" customHeight="1">
      <x:c r="A21" s="82" t="str">
        <x:v>PN-017</x:v>
      </x:c>
      <x:c r="B21" s="84" t="str">
        <x:v>Lineshapes in coherent two-photon excitation</x:v>
      </x:c>
      <x:c r="C21" s="84" t="str">
        <x:v>T. Halfmann; T. Rickes; N.V. Vitanov; K. Bergmann</x:v>
      </x:c>
      <x:c r="D21" s="83" t="n">
        <x:v>2003</x:v>
      </x:c>
      <x:c r="E21" s="84" t="str">
        <x:v>Optics Communications</x:v>
      </x:c>
      <x:c r="F21" s="85" t="str">
        <x:v>https://www.sciencedirect.com/science/article/pii/S0030401803013683</x:v>
      </x:c>
      <x:c r="G21" s="85" t="str">
        <x:v>10.1016/S0030-4018(03)01368-3</x:v>
      </x:c>
      <x:c r="H21" s="85" t="str"/>
      <x:c r="I21" s="86" t="str">
        <x:v>Yes</x:v>
      </x:c>
      <x:c r="J21" s="86" t="str">
        <x:v>Yes</x:v>
      </x:c>
      <x:c r="K21" s="86" t="str">
        <x:v>No</x:v>
      </x:c>
      <x:c r="L21" s="84" t="str">
        <x:v>HALFMANN2003353</x:v>
      </x:c>
      <x:c r="M21" s="84" t="str"/>
      <x:c r="N21" s="84" t="str"/>
      <x:c r="O21" s="84" t="str"/>
      <x:c r="P21" s="84" t="str"/>
      <x:c r="Q21" s="84" t="str"/>
      <x:c r="R21" s="84" t="str">
        <x:v>article</x:v>
      </x:c>
    </x:row>
    <x:row r="22" ht="46" customHeight="1">
      <x:c r="A22" s="82" t="str">
        <x:v>PN-018</x:v>
      </x:c>
      <x:c r="B22" s="84" t="str">
        <x:v>Power broadening revisited: theory and experiment</x:v>
      </x:c>
      <x:c r="C22" s="84" t="str">
        <x:v>N.V. Vitanov; B.W. Shore; L. Yatsenko; K. Bohmer; T. Halfmann; T. Rickes; K. Bergmann</x:v>
      </x:c>
      <x:c r="D22" s="83" t="n">
        <x:v>2001</x:v>
      </x:c>
      <x:c r="E22" s="84" t="str">
        <x:v>Optics Communications</x:v>
      </x:c>
      <x:c r="F22" s="85" t="str">
        <x:v>https://www.sciencedirect.com/science/article/pii/S003040180101495X</x:v>
      </x:c>
      <x:c r="G22" s="85" t="str">
        <x:v>10.1016/S0030-4018(01)01495-X</x:v>
      </x:c>
      <x:c r="H22" s="85" t="str"/>
      <x:c r="I22" s="86" t="str">
        <x:v>Yes</x:v>
      </x:c>
      <x:c r="J22" s="86" t="str">
        <x:v>Yes</x:v>
      </x:c>
      <x:c r="K22" s="86" t="str">
        <x:v>No</x:v>
      </x:c>
      <x:c r="L22" s="84" t="str">
        <x:v>VITANOV2001117</x:v>
      </x:c>
      <x:c r="M22" s="84" t="str"/>
      <x:c r="N22" s="84" t="str"/>
      <x:c r="O22" s="84" t="str">
        <x:v>Adiabatic evolution, Line shape, Power broadening, Pulsed excitation</x:v>
      </x:c>
      <x:c r="P22" s="84" t="str"/>
      <x:c r="Q22" s="84" t="str"/>
      <x:c r="R22" s="84" t="str">
        <x:v>article</x:v>
      </x:c>
    </x:row>
    <x:row r="23" ht="46" customHeight="1">
      <x:c r="A23" s="82" t="str">
        <x:v>PN-019</x:v>
      </x:c>
      <x:c r="B23" s="84" t="str">
        <x:v>Nonadiabatic transitions in a two-level quantum system: Pulse-shape dependence of the transition probability for a two-level atom driven by a pulsed radiation field</x:v>
      </x:c>
      <x:c r="C23" s="84" t="str">
        <x:v>Berman, P. R.; Yan, Lixin; Chiam, Keng-Hwee; Sung, Ruwang</x:v>
      </x:c>
      <x:c r="D23" s="83" t="n">
        <x:v>1998</x:v>
      </x:c>
      <x:c r="E23" s="84" t="str">
        <x:v>Phys. Rev. A</x:v>
      </x:c>
      <x:c r="F23" s="85" t="str">
        <x:v>https://link.aps.org/doi/10.1103/PhysRevA.57.79</x:v>
      </x:c>
      <x:c r="G23" s="85" t="str">
        <x:v>10.1103/PhysRevA.57.79</x:v>
      </x:c>
      <x:c r="H23" s="85" t="str"/>
      <x:c r="I23" s="86" t="str">
        <x:v>Yes</x:v>
      </x:c>
      <x:c r="J23" s="86" t="str">
        <x:v>Yes</x:v>
      </x:c>
      <x:c r="K23" s="86" t="str">
        <x:v>No</x:v>
      </x:c>
      <x:c r="L23" s="84" t="str">
        <x:v>PhysRevA.57.79</x:v>
      </x:c>
      <x:c r="M23" s="84" t="str"/>
      <x:c r="N23" s="84" t="str"/>
      <x:c r="O23" s="84" t="str"/>
      <x:c r="P23" s="84" t="str"/>
      <x:c r="Q23" s="84" t="str"/>
      <x:c r="R23" s="84" t="str">
        <x:v>article</x:v>
      </x:c>
    </x:row>
    <x:row r="24" ht="46" customHeight="1">
      <x:c r="A24" s="82" t="str">
        <x:v>PN-020</x:v>
      </x:c>
      <x:c r="B24" s="84" t="str">
        <x:v>Breaking the diffraction resolution limit by stimulated emission: stimulated-emission-depletion fluorescence microscopy</x:v>
      </x:c>
      <x:c r="C24" s="84" t="str">
        <x:v>Hell, Stefan W.; Wichmann, Jan</x:v>
      </x:c>
      <x:c r="D24" s="83" t="n">
        <x:v>1994</x:v>
      </x:c>
      <x:c r="E24" s="84" t="str">
        <x:v>Optics Letters</x:v>
      </x:c>
      <x:c r="F24" s="85" t="str">
        <x:v>https://opg.optica.org/ol/abstract.cfm?uri=ol-19-11-780</x:v>
      </x:c>
      <x:c r="G24" s="85" t="str">
        <x:v>10.1364/OL.19.000780</x:v>
      </x:c>
      <x:c r="H24" s="85" t="str"/>
      <x:c r="I24" s="86" t="str">
        <x:v>Yes</x:v>
      </x:c>
      <x:c r="J24" s="86" t="str">
        <x:v>Yes</x:v>
      </x:c>
      <x:c r="K24" s="86" t="str">
        <x:v>Yes</x:v>
      </x:c>
      <x:c r="L24" s="84" t="str">
        <x:v>hell_breaking_1994</x:v>
      </x:c>
      <x:c r="M24" s="84" t="str">
        <x:v>nonlinear-depletion-analogy</x:v>
      </x:c>
      <x:c r="N24" s="84" t="str">
        <x:v>to-read</x:v>
      </x:c>
      <x:c r="O24" s="84" t="str">
        <x:v>Diffraction limit, Fluorescence microscopy, Near field microscopy, Near field scanning optical microscopy, Scanning microscopy, Three dimensional imaging, narrowing, nonlinear-response, saturation, spectroscopy-analogy, sted, stimulated-emission-depletion</x:v>
      </x:c>
      <x:c r="P24" s="84" t="str">
        <x:v>Analogy paper, not a qubit paper: useful for the conceptual pattern of using a strong shaped control field to suppress unwanted response and isolate a narrower feature.</x:v>
      </x:c>
      <x:c r="Q24" s="84" t="str"/>
      <x:c r="R24" s="84" t="str">
        <x:v>article, database paper</x:v>
      </x:c>
    </x:row>
    <x:row r="25" ht="46" customHeight="1">
      <x:c r="A25" s="82" t="str">
        <x:v>PN-021</x:v>
      </x:c>
      <x:c r="B25" s="84" t="str">
        <x:v>Improvement of lateral resolution in far-field fluorescence light microscopy by using two-photon excitation with offset beams</x:v>
      </x:c>
      <x:c r="C25" s="84" t="str">
        <x:v>Stefan W. Hell</x:v>
      </x:c>
      <x:c r="D25" s="83" t="n">
        <x:v>1994</x:v>
      </x:c>
      <x:c r="E25" s="84" t="str">
        <x:v>Optics Communications</x:v>
      </x:c>
      <x:c r="F25" s="85" t="str">
        <x:v>https://www.sciencedirect.com/science/article/pii/0030401894900507</x:v>
      </x:c>
      <x:c r="G25" s="85" t="str">
        <x:v>10.1016/0030-4018(94)90050-7</x:v>
      </x:c>
      <x:c r="H25" s="85" t="str"/>
      <x:c r="I25" s="86" t="str">
        <x:v>Yes</x:v>
      </x:c>
      <x:c r="J25" s="86" t="str">
        <x:v>Yes</x:v>
      </x:c>
      <x:c r="K25" s="86" t="str">
        <x:v>No</x:v>
      </x:c>
      <x:c r="L25" s="84" t="str">
        <x:v>HELL199419</x:v>
      </x:c>
      <x:c r="M25" s="84" t="str"/>
      <x:c r="N25" s="84" t="str"/>
      <x:c r="O25" s="84" t="str"/>
      <x:c r="P25" s="84" t="str"/>
      <x:c r="Q25" s="84" t="str"/>
      <x:c r="R25" s="84" t="str">
        <x:v>article</x:v>
      </x:c>
    </x:row>
    <x:row r="26" ht="46" customHeight="1">
      <x:c r="A26" s="82" t="str">
        <x:v>PN-022</x:v>
      </x:c>
      <x:c r="B26" s="84" t="str">
        <x:v>Stability of quantum motion in chaotic and regular systems</x:v>
      </x:c>
      <x:c r="C26" s="84" t="str">
        <x:v>Peres, Asher</x:v>
      </x:c>
      <x:c r="D26" s="83" t="n">
        <x:v>1984</x:v>
      </x:c>
      <x:c r="E26" s="84" t="str">
        <x:v>Phys. Rev. A</x:v>
      </x:c>
      <x:c r="F26" s="85" t="str">
        <x:v>https://link.aps.org/doi/10.1103/PhysRevA.30.1610</x:v>
      </x:c>
      <x:c r="G26" s="85" t="str">
        <x:v>10.1103/PhysRevA.30.1610</x:v>
      </x:c>
      <x:c r="H26" s="85" t="str"/>
      <x:c r="I26" s="86" t="str">
        <x:v>Yes</x:v>
      </x:c>
      <x:c r="J26" s="86" t="str">
        <x:v>Yes</x:v>
      </x:c>
      <x:c r="K26" s="86" t="str">
        <x:v>No</x:v>
      </x:c>
      <x:c r="L26" s="84" t="str">
        <x:v>PhysRevA.30.1610</x:v>
      </x:c>
      <x:c r="M26" s="84" t="str"/>
      <x:c r="N26" s="84" t="str"/>
      <x:c r="O26" s="84" t="str"/>
      <x:c r="P26" s="84" t="str"/>
      <x:c r="Q26" s="84" t="str"/>
      <x:c r="R26" s="84" t="str">
        <x:v>article</x:v>
      </x:c>
    </x:row>
    <x:row r="27" ht="46" customHeight="1">
      <x:c r="A27" s="82" t="str">
        <x:v>PN-023</x:v>
      </x:c>
      <x:c r="B27" s="84" t="str">
        <x:v>Optical Resonance and Two Level Atoms</x:v>
      </x:c>
      <x:c r="C27" s="84" t="str">
        <x:v>Zienau, S</x:v>
      </x:c>
      <x:c r="D27" s="83" t="n">
        <x:v>1975</x:v>
      </x:c>
      <x:c r="E27" s="84" t="str">
        <x:v>Physics Bulletin</x:v>
      </x:c>
      <x:c r="F27" s="85" t="str">
        <x:v>https://doi.org/10.1088/0031-9112/26/12/039</x:v>
      </x:c>
      <x:c r="G27" s="85" t="str">
        <x:v>10.1088/0031-9112/26/12/039</x:v>
      </x:c>
      <x:c r="H27" s="85" t="str"/>
      <x:c r="I27" s="86" t="str">
        <x:v>Yes</x:v>
      </x:c>
      <x:c r="J27" s="86" t="str">
        <x:v>Yes</x:v>
      </x:c>
      <x:c r="K27" s="86" t="str">
        <x:v>No</x:v>
      </x:c>
      <x:c r="L27" s="84" t="str">
        <x:v>Zienau_1975</x:v>
      </x:c>
      <x:c r="M27" s="84" t="str"/>
      <x:c r="N27" s="84" t="str"/>
      <x:c r="O27" s="84" t="str"/>
      <x:c r="P27" s="84" t="str"/>
      <x:c r="Q27" s="84" t="str"/>
      <x:c r="R27" s="84" t="str">
        <x:v>article</x:v>
      </x:c>
    </x:row>
    <x:row r="28" ht="46" customHeight="1">
      <x:c r="A28" s="82" t="str">
        <x:v>PN-024</x:v>
      </x:c>
      <x:c r="B28" s="84" t="str">
        <x:v>Infrared and Optical Masers</x:v>
      </x:c>
      <x:c r="C28" s="84" t="str">
        <x:v>Schawlow, A. L.; Townes, C. H.</x:v>
      </x:c>
      <x:c r="D28" s="83" t="n">
        <x:v>1958</x:v>
      </x:c>
      <x:c r="E28" s="84" t="str">
        <x:v>Physical Review</x:v>
      </x:c>
      <x:c r="F28" s="85" t="str">
        <x:v>https://link.aps.org/doi/10.1103/PhysRev.112.1940</x:v>
      </x:c>
      <x:c r="G28" s="85" t="str">
        <x:v>10.1103/PhysRev.112.1940</x:v>
      </x:c>
      <x:c r="H28" s="85" t="str"/>
      <x:c r="I28" s="86" t="str">
        <x:v>Yes</x:v>
      </x:c>
      <x:c r="J28" s="86" t="str">
        <x:v>Yes</x:v>
      </x:c>
      <x:c r="K28" s="86" t="str">
        <x:v>No</x:v>
      </x:c>
      <x:c r="L28" s="84" t="str">
        <x:v>schawlow_infrared_1958</x:v>
      </x:c>
      <x:c r="M28" s="84" t="str"/>
      <x:c r="N28" s="84" t="str"/>
      <x:c r="O28" s="84" t="str"/>
      <x:c r="P28" s="84" t="str">
        <x:v>Publisher: American Physical Society</x:v>
      </x:c>
      <x:c r="Q28" s="84" t="str"/>
      <x:c r="R28" s="84" t="str">
        <x:v>article</x:v>
      </x:c>
    </x:row>
    <x:row r="29" ht="46" customHeight="1">
      <x:c r="A29" s="82" t="str">
        <x:v>PN-025</x:v>
      </x:c>
      <x:c r="B29" s="84" t="str">
        <x:v>A Molecular Beam Resonance Method with Separated Oscillating Fields</x:v>
      </x:c>
      <x:c r="C29" s="84" t="str">
        <x:v>Ramsey, Norman F.</x:v>
      </x:c>
      <x:c r="D29" s="83" t="n">
        <x:v>1950</x:v>
      </x:c>
      <x:c r="E29" s="84" t="str">
        <x:v>Phys. Rev.</x:v>
      </x:c>
      <x:c r="F29" s="85" t="str">
        <x:v>https://link.aps.org/doi/10.1103/PhysRev.78.695</x:v>
      </x:c>
      <x:c r="G29" s="85" t="str">
        <x:v>10.1103/PhysRev.78.695</x:v>
      </x:c>
      <x:c r="H29" s="85" t="str"/>
      <x:c r="I29" s="86" t="str">
        <x:v>Yes</x:v>
      </x:c>
      <x:c r="J29" s="86" t="str">
        <x:v>Yes</x:v>
      </x:c>
      <x:c r="K29" s="86" t="str">
        <x:v>No</x:v>
      </x:c>
      <x:c r="L29" s="84" t="str">
        <x:v>PhysRev.78.695</x:v>
      </x:c>
      <x:c r="M29" s="84" t="str"/>
      <x:c r="N29" s="84" t="str"/>
      <x:c r="O29" s="84" t="str"/>
      <x:c r="P29" s="84" t="str"/>
      <x:c r="Q29" s="84" t="str"/>
      <x:c r="R29" s="84" t="str">
        <x:v>article</x:v>
      </x:c>
    </x:row>
    <x:row r="30" ht="46" customHeight="1">
      <x:c r="A30" s="82" t="str">
        <x:v>PN-026</x:v>
      </x:c>
      <x:c r="B30" s="84" t="str">
        <x:v>Nuclear Induction</x:v>
      </x:c>
      <x:c r="C30" s="84" t="str">
        <x:v>Bloch, F.</x:v>
      </x:c>
      <x:c r="D30" s="83" t="n">
        <x:v>1946</x:v>
      </x:c>
      <x:c r="E30" s="84" t="str">
        <x:v>Phys. Rev.</x:v>
      </x:c>
      <x:c r="F30" s="85" t="str">
        <x:v>https://link.aps.org/doi/10.1103/PhysRev.70.460</x:v>
      </x:c>
      <x:c r="G30" s="85" t="str">
        <x:v>10.1103/PhysRev.70.460</x:v>
      </x:c>
      <x:c r="H30" s="85" t="str"/>
      <x:c r="I30" s="86" t="str">
        <x:v>Yes</x:v>
      </x:c>
      <x:c r="J30" s="86" t="str">
        <x:v>Yes</x:v>
      </x:c>
      <x:c r="K30" s="86" t="str">
        <x:v>No</x:v>
      </x:c>
      <x:c r="L30" s="84" t="str">
        <x:v>PhysRev.70.460</x:v>
      </x:c>
      <x:c r="M30" s="84" t="str"/>
      <x:c r="N30" s="84" t="str"/>
      <x:c r="O30" s="84" t="str"/>
      <x:c r="P30" s="84" t="str"/>
      <x:c r="Q30" s="84" t="str"/>
      <x:c r="R30" s="84" t="str">
        <x:v>article</x:v>
      </x:c>
    </x:row>
    <x:row r="31" ht="46" customHeight="1">
      <x:c r="A31" s="82" t="str">
        <x:v>PN-027</x:v>
      </x:c>
      <x:c r="B31" s="84" t="str">
        <x:v>Resonance Absorption by Nuclear Magnetic Moments in a Solid</x:v>
      </x:c>
      <x:c r="C31" s="84" t="str">
        <x:v>Purcell, E. M.; Torrey, H. C.; Pound, R. V.</x:v>
      </x:c>
      <x:c r="D31" s="83" t="n">
        <x:v>1946</x:v>
      </x:c>
      <x:c r="E31" s="84" t="str">
        <x:v>Phys. Rev.</x:v>
      </x:c>
      <x:c r="F31" s="85" t="str">
        <x:v>https://link.aps.org/doi/10.1103/PhysRev.69.37</x:v>
      </x:c>
      <x:c r="G31" s="85" t="str">
        <x:v>10.1103/PhysRev.69.37</x:v>
      </x:c>
      <x:c r="H31" s="85" t="str"/>
      <x:c r="I31" s="86" t="str">
        <x:v>Yes</x:v>
      </x:c>
      <x:c r="J31" s="86" t="str">
        <x:v>Yes</x:v>
      </x:c>
      <x:c r="K31" s="86" t="str">
        <x:v>No</x:v>
      </x:c>
      <x:c r="L31" s="84" t="str">
        <x:v>PhysRev.69.37</x:v>
      </x:c>
      <x:c r="M31" s="84" t="str"/>
      <x:c r="N31" s="84" t="str"/>
      <x:c r="O31" s="84" t="str"/>
      <x:c r="P31" s="84" t="str"/>
      <x:c r="Q31" s="84" t="str"/>
      <x:c r="R31" s="84" t="str">
        <x:v>article</x:v>
      </x:c>
    </x:row>
    <x:row r="32" ht="46" customHeight="1">
      <x:c r="A32" s="82" t="str">
        <x:v>PN-028</x:v>
      </x:c>
      <x:c r="B32" s="84" t="str">
        <x:v>Double Stern-Gerlach Experiment and Related Collision Phenomena</x:v>
      </x:c>
      <x:c r="C32" s="84" t="str">
        <x:v>Rosen, N.; Zener, C.</x:v>
      </x:c>
      <x:c r="D32" s="83" t="n">
        <x:v>1932</x:v>
      </x:c>
      <x:c r="E32" s="84" t="str">
        <x:v>Phys. Rev.</x:v>
      </x:c>
      <x:c r="F32" s="85" t="str">
        <x:v>https://link.aps.org/doi/10.1103/PhysRev.40.502</x:v>
      </x:c>
      <x:c r="G32" s="85" t="str">
        <x:v>10.1103/PhysRev.40.502</x:v>
      </x:c>
      <x:c r="H32" s="85" t="str"/>
      <x:c r="I32" s="86" t="str">
        <x:v>Yes</x:v>
      </x:c>
      <x:c r="J32" s="86" t="str">
        <x:v>Yes</x:v>
      </x:c>
      <x:c r="K32" s="86" t="str">
        <x:v>No</x:v>
      </x:c>
      <x:c r="L32" s="84" t="str">
        <x:v>PhysRev.40.502</x:v>
      </x:c>
      <x:c r="M32" s="84" t="str"/>
      <x:c r="N32" s="84" t="str"/>
      <x:c r="O32" s="84" t="str"/>
      <x:c r="P32" s="84" t="str"/>
      <x:c r="Q32" s="84" t="str"/>
      <x:c r="R32" s="84" t="str">
        <x:v>article</x:v>
      </x:c>
    </x:row>
    <x:row r="33" ht="46" customHeight="1">
      <x:c r="A33" s="82" t="str">
        <x:v>PN-029</x:v>
      </x:c>
      <x:c r="B33" s="84" t="str">
        <x:v>A nanoscale magnetic spectrum analyzer based on qubit dressed states</x:v>
      </x:c>
      <x:c r="C33" s="84" t="str">
        <x:v>Jan Rueschkamp, Shantam Ravan, Daniel Fernandez, Nazar Delegan, F. Joseph Heremans, David D. Awschalom</x:v>
      </x:c>
      <x:c r="D33" s="83" t="n">
        <x:v>2026</x:v>
      </x:c>
      <x:c r="E33" s="84" t="str">
        <x:v>arXiv</x:v>
      </x:c>
      <x:c r="F33" s="85" t="str">
        <x:v>https://arxiv.org/abs/2606.05426</x:v>
      </x:c>
      <x:c r="G33" s="85" t="str"/>
      <x:c r="H33" s="85" t="str">
        <x:v>2606.05426</x:v>
      </x:c>
      <x:c r="I33" s="86" t="str">
        <x:v>No</x:v>
      </x:c>
      <x:c r="J33" s="86" t="str">
        <x:v>No</x:v>
      </x:c>
      <x:c r="K33" s="86" t="str">
        <x:v>Yes</x:v>
      </x:c>
      <x:c r="L33" s="84" t="str"/>
      <x:c r="M33" s="84" t="str">
        <x:v>2026-dressed-state-spectrum-analysis</x:v>
      </x:c>
      <x:c r="N33" s="84" t="str">
        <x:v>to-read</x:v>
      </x:c>
      <x:c r="O33" s="84" t="str">
        <x:v>2026, dressed-states, magnetic-noise, nv-centers, quantum-sensing, qubit-sensor, spectrum-analysis</x:v>
      </x:c>
      <x:c r="P33" s="84" t="str">
        <x:v>Adjacent but relevant to your dressed/adiabatic-basis and spectroscopy interests: spectroscopy through engineered qubit dressed states.</x:v>
      </x:c>
      <x:c r="Q33" s="84" t="str"/>
      <x:c r="R33" s="84" t="str">
        <x:v>database paper</x:v>
      </x:c>
    </x:row>
    <x:row r="34" ht="46" customHeight="1">
      <x:c r="A34" s="82" t="str">
        <x:v>PN-030</x:v>
      </x:c>
      <x:c r="B34" s="84" t="str">
        <x:v>Assessing Spatiotemporally Correlated Noise in Superconducting Qubits via Pulse-Based Quantum Noise Spectroscopy</x:v>
      </x:c>
      <x:c r="C34" s="84" t="str">
        <x:v>Mayra Amezcua, Leigh Norris, Tom Gilliss, Ryan Sitler, James Shackford, Gregory Quiroz</x:v>
      </x:c>
      <x:c r="D34" s="83" t="n">
        <x:v>2026</x:v>
      </x:c>
      <x:c r="E34" s="84" t="str">
        <x:v>arXiv</x:v>
      </x:c>
      <x:c r="F34" s="85" t="str">
        <x:v>https://arxiv.org/abs/2603.19373</x:v>
      </x:c>
      <x:c r="G34" s="85" t="str"/>
      <x:c r="H34" s="85" t="str">
        <x:v>2603.19373</x:v>
      </x:c>
      <x:c r="I34" s="86" t="str">
        <x:v>No</x:v>
      </x:c>
      <x:c r="J34" s="86" t="str">
        <x:v>No</x:v>
      </x:c>
      <x:c r="K34" s="86" t="str">
        <x:v>Yes</x:v>
      </x:c>
      <x:c r="L34" s="84" t="str"/>
      <x:c r="M34" s="84" t="str">
        <x:v>2026-superconducting-noise-spectroscopy</x:v>
      </x:c>
      <x:c r="N34" s="84" t="str">
        <x:v>to-read</x:v>
      </x:c>
      <x:c r="O34" s="84" t="str">
        <x:v>2026, correlated-noise, crosstalk, dephasing, pulse-based, quantum-noise-spectroscopy, superconducting-qubits</x:v>
      </x:c>
      <x:c r="P34" s="84" t="str">
        <x:v>Strong 2026 hardware-context paper: pulse-based spectroscopy on superconducting qubits, relevant to echo/filter-function thinking and multi-qubit calibration.</x:v>
      </x:c>
      <x:c r="Q34" s="84" t="str"/>
      <x:c r="R34" s="84" t="str">
        <x:v>database paper</x:v>
      </x:c>
    </x:row>
    <x:row r="35" ht="46" customHeight="1">
      <x:c r="A35" s="82" t="str">
        <x:v>PN-031</x:v>
      </x:c>
      <x:c r="B35" s="84" t="str">
        <x:v>Pulse Shaping for Superconducting Qubits</x:v>
      </x:c>
      <x:c r="C35" s="84" t="str">
        <x:v>Animesh Patra, Ankur Raina</x:v>
      </x:c>
      <x:c r="D35" s="83" t="n">
        <x:v>2026</x:v>
      </x:c>
      <x:c r="E35" s="84" t="str">
        <x:v>arXiv</x:v>
      </x:c>
      <x:c r="F35" s="85" t="str">
        <x:v>https://arxiv.org/abs/2604.21565</x:v>
      </x:c>
      <x:c r="G35" s="85" t="str"/>
      <x:c r="H35" s="85" t="str">
        <x:v>2604.21565</x:v>
      </x:c>
      <x:c r="I35" s="86" t="str">
        <x:v>No</x:v>
      </x:c>
      <x:c r="J35" s="86" t="str">
        <x:v>No</x:v>
      </x:c>
      <x:c r="K35" s="86" t="str">
        <x:v>Yes</x:v>
      </x:c>
      <x:c r="L35" s="84" t="str"/>
      <x:c r="M35" s="84" t="str">
        <x:v>2026-superconducting-pulse-shaping</x:v>
      </x:c>
      <x:c r="N35" s="84" t="str">
        <x:v>to-read</x:v>
      </x:c>
      <x:c r="O35" s="84" t="str">
        <x:v>2026, awg, drag, microwave-control, pulse-shaping, spectral-properties, superconducting-qubits, transmon</x:v>
      </x:c>
      <x:c r="P35" s="84" t="str">
        <x:v>Strong 2026 fit for your project: tutorial-level map of pulse shaping in exactly your hardware platform. Useful for literature-review framing and terminology.</x:v>
      </x:c>
      <x:c r="Q35" s="84" t="str"/>
      <x:c r="R35" s="84" t="str">
        <x:v>database paper</x:v>
      </x:c>
    </x:row>
    <x:row r="36" ht="46" customHeight="1">
      <x:c r="A36" s="82" t="str">
        <x:v>PN-032</x:v>
      </x:c>
      <x:c r="B36" s="84" t="str">
        <x:v>Superresolution in Quantum Noise Spectroscopy via Filter Design</x:v>
      </x:c>
      <x:c r="C36" s="84" t="str">
        <x:v>Joseph T. Iosue, Paraj Titum, Taohan Lin, Clare Lau, Leigh M. Norris</x:v>
      </x:c>
      <x:c r="D36" s="83" t="n">
        <x:v>2026</x:v>
      </x:c>
      <x:c r="E36" s="84" t="str">
        <x:v>arXiv</x:v>
      </x:c>
      <x:c r="F36" s="85" t="str">
        <x:v>https://arxiv.org/abs/2602.11275</x:v>
      </x:c>
      <x:c r="G36" s="85" t="str"/>
      <x:c r="H36" s="85" t="str">
        <x:v>2602.11275</x:v>
      </x:c>
      <x:c r="I36" s="86" t="str">
        <x:v>No</x:v>
      </x:c>
      <x:c r="J36" s="86" t="str">
        <x:v>No</x:v>
      </x:c>
      <x:c r="K36" s="86" t="str">
        <x:v>Yes</x:v>
      </x:c>
      <x:c r="L36" s="84" t="str"/>
      <x:c r="M36" s="84" t="str">
        <x:v>2026-spectral-superresolution-filter-design</x:v>
      </x:c>
      <x:c r="N36" s="84" t="str">
        <x:v>to-read</x:v>
      </x:c>
      <x:c r="O36" s="84" t="str">
        <x:v>2026, filter-design, frequency-resolution, quantum-control, quantum-noise-spectroscopy, superresolution, t2-limit</x:v>
      </x:c>
      <x:c r="P36" s="84" t="str">
        <x:v>Very relevant to the T2/resolution-limit thread. It connects superresolution directly to filter design/control protocols rather than just post-processing.</x:v>
      </x:c>
      <x:c r="Q36" s="84" t="str"/>
      <x:c r="R36" s="84" t="str">
        <x:v>database paper</x:v>
      </x:c>
    </x:row>
    <x:row r="37" ht="46" customHeight="1">
      <x:c r="A37" s="82" t="str">
        <x:v>PN-033</x:v>
      </x:c>
      <x:c r="B37" s="84" t="str">
        <x:v>Time-Reversal and Reversible Dynamics in Cavity QED for Quantum Metrology</x:v>
      </x:c>
      <x:c r="C37" s="84" t="str">
        <x:v>Simone Colombo, Edwin Pedrozo-Penafiel</x:v>
      </x:c>
      <x:c r="D37" s="83" t="n">
        <x:v>2026</x:v>
      </x:c>
      <x:c r="E37" s="84" t="str">
        <x:v>arXiv</x:v>
      </x:c>
      <x:c r="F37" s="85" t="str">
        <x:v>https://arxiv.org/abs/2607.02320</x:v>
      </x:c>
      <x:c r="G37" s="85" t="str"/>
      <x:c r="H37" s="85" t="str">
        <x:v>2607.02320</x:v>
      </x:c>
      <x:c r="I37" s="86" t="str">
        <x:v>No</x:v>
      </x:c>
      <x:c r="J37" s="86" t="str">
        <x:v>No</x:v>
      </x:c>
      <x:c r="K37" s="86" t="str">
        <x:v>Yes</x:v>
      </x:c>
      <x:c r="L37" s="84" t="str"/>
      <x:c r="M37" s="84" t="str">
        <x:v>2026-time-reversal-metrology</x:v>
      </x:c>
      <x:c r="N37" s="84" t="str">
        <x:v>to-read</x:v>
      </x:c>
      <x:c r="O37" s="84" t="str">
        <x:v>2026, cavity-qed, echo, loschmidt-echo, quantum-metrology, reversible-dynamics, time-reversal</x:v>
      </x:c>
      <x:c r="P37" s="84" t="str">
        <x:v>Fresh July 2026 paper. Adjacent rather than superconducting-specific, but useful for the Loschmidt/time-reversal measurement layer of the project.</x:v>
      </x:c>
      <x:c r="Q37" s="84" t="str"/>
      <x:c r="R37" s="84" t="str">
        <x:v>database paper</x:v>
      </x:c>
    </x:row>
    <x:row r="38" ht="46" customHeight="1">
      <x:c r="A38" s="82" t="str">
        <x:v>PN-034</x:v>
      </x:c>
      <x:c r="B38" s="84" t="str">
        <x:v>Observation of Power Superbroadening of Spectral Line Profiles on IBM Quantum</x:v>
      </x:c>
      <x:c r="C38" s="84" t="str">
        <x:v>Ivo S. Mihov, Nikolay V. Vitanov</x:v>
      </x:c>
      <x:c r="D38" s="83" t="n">
        <x:v>2025</x:v>
      </x:c>
      <x:c r="E38" s="84" t="str">
        <x:v>arXiv</x:v>
      </x:c>
      <x:c r="F38" s="85" t="str">
        <x:v>https://arxiv.org/abs/2506.08748</x:v>
      </x:c>
      <x:c r="G38" s="85" t="str">
        <x:v>10.48550/arXiv.2506.08748</x:v>
      </x:c>
      <x:c r="H38" s="85" t="str">
        <x:v>2506.08748</x:v>
      </x:c>
      <x:c r="I38" s="86" t="str">
        <x:v>No</x:v>
      </x:c>
      <x:c r="J38" s="86" t="str">
        <x:v>No</x:v>
      </x:c>
      <x:c r="K38" s="86" t="str">
        <x:v>Yes</x:v>
      </x:c>
      <x:c r="L38" s="84" t="str"/>
      <x:c r="M38" s="84" t="str">
        <x:v>contrast-power-broadening</x:v>
      </x:c>
      <x:c r="N38" s="84" t="str">
        <x:v>to-read</x:v>
      </x:c>
      <x:c r="O38" s="84" t="str">
        <x:v>ibm-quantum, power-broadening, pulse-shaping, spectroscopy, superbroadening, superconducting-qubits</x:v>
      </x:c>
      <x:c r="P38" s="84" t="str">
        <x:v>Useful comparison paper: not power narrowing itself, but highly relevant for distinguishing pulse families that narrow versus broaden spectral profiles under stronger driving.</x:v>
      </x:c>
      <x:c r="Q38" s="84" t="str"/>
      <x:c r="R38" s="84" t="str">
        <x:v>database paper</x:v>
      </x:c>
    </x:row>
    <x:row r="39" ht="46" customHeight="1">
      <x:c r="A39" s="82" t="str">
        <x:v>PN-035</x:v>
      </x:c>
      <x:c r="B39" s="84" t="str">
        <x:v>Defying Conventional Wisdom in Spectroscopy: Power Narrowing on IBM Quantum</x:v>
      </x:c>
      <x:c r="C39" s="84" t="str">
        <x:v>Ivo S. Mihov, Nikolay V. Vitanov</x:v>
      </x:c>
      <x:c r="D39" s="83" t="n">
        <x:v>2024</x:v>
      </x:c>
      <x:c r="E39" s="84" t="str">
        <x:v>Physical Review Letters / arXiv</x:v>
      </x:c>
      <x:c r="F39" s="85" t="str">
        <x:v>https://arxiv.org/abs/2308.14187</x:v>
      </x:c>
      <x:c r="G39" s="85" t="str">
        <x:v>10.1103/PhysRevLett.132.020802</x:v>
      </x:c>
      <x:c r="H39" s="85" t="str">
        <x:v>2308.14187</x:v>
      </x:c>
      <x:c r="I39" s="86" t="str">
        <x:v>No</x:v>
      </x:c>
      <x:c r="J39" s="86" t="str">
        <x:v>No</x:v>
      </x:c>
      <x:c r="K39" s="86" t="str">
        <x:v>Yes</x:v>
      </x:c>
      <x:c r="L39" s="84" t="str"/>
      <x:c r="M39" s="84" t="str">
        <x:v>core-power-narrowing</x:v>
      </x:c>
      <x:c r="N39" s="84" t="str">
        <x:v>to-read</x:v>
      </x:c>
      <x:c r="O39" s="84" t="str">
        <x:v>ibm-quantum, lorentzian-pulses, power-narrowing, pulse-shaping, spectroscopy, superconducting-qubits</x:v>
      </x:c>
      <x:c r="P39" s="84" t="str">
        <x:v>Strong direct fit: Lorentzian shaped pulses, IBM superconducting-qubit hardware, amplitude-dependent linewidth narrowing, and truncation effects relevant to root-Lorentzian/echo spectroscopy.</x:v>
      </x:c>
      <x:c r="Q39" s="84" t="str"/>
      <x:c r="R39" s="84" t="str">
        <x:v>database paper</x:v>
      </x:c>
    </x:row>
    <x:row r="40" ht="46" customHeight="1">
      <x:c r="A40" s="82" t="str">
        <x:v>PN-036</x:v>
      </x:c>
      <x:c r="B40" s="84" t="str">
        <x:v>Qubit dynamics driven by smooth pulses of finite duration</x:v>
      </x:c>
      <x:c r="C40" s="84" t="str">
        <x:v>Ivo S. Mihov, Nikolay V. Vitanov</x:v>
      </x:c>
      <x:c r="D40" s="83" t="n">
        <x:v>2024</x:v>
      </x:c>
      <x:c r="E40" s="84" t="str">
        <x:v>arXiv</x:v>
      </x:c>
      <x:c r="F40" s="85" t="str">
        <x:v>https://arxiv.org/abs/2404.12236</x:v>
      </x:c>
      <x:c r="G40" s="85" t="str">
        <x:v>10.48550/arXiv.2404.12236</x:v>
      </x:c>
      <x:c r="H40" s="85" t="str">
        <x:v>2404.12236</x:v>
      </x:c>
      <x:c r="I40" s="86" t="str">
        <x:v>No</x:v>
      </x:c>
      <x:c r="J40" s="86" t="str">
        <x:v>No</x:v>
      </x:c>
      <x:c r="K40" s="86" t="str">
        <x:v>Yes</x:v>
      </x:c>
      <x:c r="L40" s="84" t="str"/>
      <x:c r="M40" s="84" t="str">
        <x:v>reduced-power-broadening</x:v>
      </x:c>
      <x:c r="N40" s="84" t="str">
        <x:v>to-read</x:v>
      </x:c>
      <x:c r="O40" s="84" t="str">
        <x:v>ibm-quantum, narrow-linewidth, power-broadening, pulse-shaping, smooth-pulses, spectroscopy, superconducting-qubits, vitanov</x:v>
      </x:c>
      <x:c r="P40" s="84" t="str">
        <x:v>Very relevant adjacent paper: not Lorentzian power narrowing, but directly about shaped qubit pulses, reduced power broadening, line-profile wings, and IBM Quantum experiments.</x:v>
      </x:c>
      <x:c r="Q40" s="84" t="str"/>
      <x:c r="R40" s="84" t="str">
        <x:v>database paper</x:v>
      </x:c>
    </x:row>
    <x:row r="41" ht="46" customHeight="1">
      <x:c r="A41" s="82" t="str">
        <x:v>PN-037</x:v>
      </x:c>
      <x:c r="B41" s="84" t="str">
        <x:v>Controlling the uncontrollable: Quantum control of open system dynamics</x:v>
      </x:c>
      <x:c r="C41" s="84" t="str">
        <x:v>Shimshon Kallush, Roie Dann, Ronnie Kosloff</x:v>
      </x:c>
      <x:c r="D41" s="83" t="n">
        <x:v>2022</x:v>
      </x:c>
      <x:c r="E41" s="84" t="str">
        <x:v>arXiv / Science Advances</x:v>
      </x:c>
      <x:c r="F41" s="85" t="str">
        <x:v>https://arxiv.org/abs/2205.05971</x:v>
      </x:c>
      <x:c r="G41" s="85" t="str">
        <x:v>10.48550/arXiv.2205.05971</x:v>
      </x:c>
      <x:c r="H41" s="85" t="str">
        <x:v>2205.05971</x:v>
      </x:c>
      <x:c r="I41" s="86" t="str">
        <x:v>No</x:v>
      </x:c>
      <x:c r="J41" s="86" t="str">
        <x:v>No</x:v>
      </x:c>
      <x:c r="K41" s="86" t="str">
        <x:v>Yes</x:v>
      </x:c>
      <x:c r="L41" s="84" t="str"/>
      <x:c r="M41" s="84" t="str">
        <x:v>drive-dressed-open-system-control</x:v>
      </x:c>
      <x:c r="N41" s="84" t="str">
        <x:v>to-read</x:v>
      </x:c>
      <x:c r="O41" s="84" t="str">
        <x:v>dann, dissipation, drive-dressed-basis, kallush, kosloff, open-quantum-systems, quantum-control, qubit-gates</x:v>
      </x:c>
      <x:c r="P41" s="84" t="str">
        <x:v>Broader background, not spectroscopy-specific. Relevant for thinking about shaped pulses in a drive-dressed basis where dissipation and control are not separable.</x:v>
      </x:c>
      <x:c r="Q41" s="84" t="str"/>
      <x:c r="R41" s="84" t="str">
        <x:v>database paper</x:v>
      </x:c>
    </x:row>
    <x:row r="42" ht="46" customHeight="1">
      <x:c r="A42" s="82" t="str">
        <x:v>PN-038</x:v>
      </x:c>
      <x:c r="B42" s="84" t="str">
        <x:v>Experimental demonstration of composite pulses on IBM's quantum computer</x:v>
      </x:c>
      <x:c r="C42" s="84" t="str">
        <x:v>Boyan T. Torosov, Nikolay V. Vitanov</x:v>
      </x:c>
      <x:c r="D42" s="83" t="n">
        <x:v>2022</x:v>
      </x:c>
      <x:c r="E42" s="84" t="str">
        <x:v>arXiv</x:v>
      </x:c>
      <x:c r="F42" s="85" t="str">
        <x:v>https://arxiv.org/abs/2202.09647</x:v>
      </x:c>
      <x:c r="G42" s="85" t="str">
        <x:v>10.48550/arXiv.2202.09647</x:v>
      </x:c>
      <x:c r="H42" s="85" t="str">
        <x:v>2202.09647</x:v>
      </x:c>
      <x:c r="I42" s="86" t="str">
        <x:v>No</x:v>
      </x:c>
      <x:c r="J42" s="86" t="str">
        <x:v>No</x:v>
      </x:c>
      <x:c r="K42" s="86" t="str">
        <x:v>Yes</x:v>
      </x:c>
      <x:c r="L42" s="84" t="str"/>
      <x:c r="M42" s="84" t="str">
        <x:v>narrowband-composite-pulses</x:v>
      </x:c>
      <x:c r="N42" s="84" t="str">
        <x:v>to-read</x:v>
      </x:c>
      <x:c r="O42" s="84" t="str">
        <x:v>composite-pulses, ibm-quantum, narrowband, pulse-control, spectroscopy, superconducting-qubits, transmon, vitanov</x:v>
      </x:c>
      <x:c r="P42" s="84" t="str">
        <x:v>Strong fit for your robust spectroscopy/control angle: experimental IBM transmon pulse-control data with narrowband and passband excitation profiles.</x:v>
      </x:c>
      <x:c r="Q42" s="84" t="str"/>
      <x:c r="R42" s="84" t="str">
        <x:v>database paper</x:v>
      </x:c>
    </x:row>
    <x:row r="43" ht="46" customHeight="1">
      <x:c r="A43" s="82" t="str">
        <x:v>PN-039</x:v>
      </x:c>
      <x:c r="B43" s="84" t="str">
        <x:v>Variational Quantum Metrology with Loschmidt Echo</x:v>
      </x:c>
      <x:c r="C43" s="84" t="str">
        <x:v>Ran Liu, Ze Wu, Xiaodong Yang, Yuchen Li, Hui Zhou, Yuquan Chen, Haidong Yuan, Xinhua Peng, Jiangfeng Du</x:v>
      </x:c>
      <x:c r="D43" s="83" t="n">
        <x:v>2022</x:v>
      </x:c>
      <x:c r="E43" s="84" t="str">
        <x:v>arXiv</x:v>
      </x:c>
      <x:c r="F43" s="85" t="str">
        <x:v>https://arxiv.org/abs/2211.12296</x:v>
      </x:c>
      <x:c r="G43" s="85" t="str">
        <x:v>10.48550/arXiv.2211.12296</x:v>
      </x:c>
      <x:c r="H43" s="85" t="str">
        <x:v>2211.12296</x:v>
      </x:c>
      <x:c r="I43" s="86" t="str">
        <x:v>No</x:v>
      </x:c>
      <x:c r="J43" s="86" t="str">
        <x:v>No</x:v>
      </x:c>
      <x:c r="K43" s="86" t="str">
        <x:v>Yes</x:v>
      </x:c>
      <x:c r="L43" s="84" t="str"/>
      <x:c r="M43" s="84" t="str">
        <x:v>loschmidt-echo-metrology</x:v>
      </x:c>
      <x:c r="N43" s="84" t="str">
        <x:v>to-read</x:v>
      </x:c>
      <x:c r="O43" s="84" t="str">
        <x:v>echo, loschmidt-echo, quantum-metrology, sensing, time-reversal, variational-circuit</x:v>
      </x:c>
      <x:c r="P43" s="84" t="str">
        <x:v>Modern implementation-oriented Loschmidt echo/metrology paper; useful for discussing echo signals as sensitivity-enhancing measurement protocols.</x:v>
      </x:c>
      <x:c r="Q43" s="84" t="str"/>
      <x:c r="R43" s="84" t="str">
        <x:v>database paper</x:v>
      </x:c>
    </x:row>
    <x:row r="44" ht="46" customHeight="1">
      <x:c r="A44" s="82" t="str">
        <x:v>PN-040</x:v>
      </x:c>
      <x:c r="B44" s="84" t="str">
        <x:v>Correlated noise in Brownian motion allows for super resolution</x:v>
      </x:c>
      <x:c r="C44" s="84" t="str">
        <x:v>Santiago Oviedo-Casado, Amit Rotem, Ramil Nigmatullin, Javier Prior, Alex Retzker</x:v>
      </x:c>
      <x:c r="D44" s="83" t="n">
        <x:v>2020</x:v>
      </x:c>
      <x:c r="E44" s="84" t="str">
        <x:v>arXiv</x:v>
      </x:c>
      <x:c r="F44" s="85" t="str">
        <x:v>https://arxiv.org/abs/2005.08346</x:v>
      </x:c>
      <x:c r="G44" s="85" t="str">
        <x:v>10.48550/arXiv.2005.08346</x:v>
      </x:c>
      <x:c r="H44" s="85" t="str">
        <x:v>2005.08346</x:v>
      </x:c>
      <x:c r="I44" s="86" t="str">
        <x:v>No</x:v>
      </x:c>
      <x:c r="J44" s="86" t="str">
        <x:v>No</x:v>
      </x:c>
      <x:c r="K44" s="86" t="str">
        <x:v>Yes</x:v>
      </x:c>
      <x:c r="L44" s="84" t="str"/>
      <x:c r="M44" s="84" t="str">
        <x:v>correlation-superresolution-background</x:v>
      </x:c>
      <x:c r="N44" s="84" t="str">
        <x:v>to-read</x:v>
      </x:c>
      <x:c r="O44" s="84" t="str">
        <x:v>correlation-spectroscopy, diffusion-broadening, frequency-resolution, nano-nmr, retzker, superresolution</x:v>
      </x:c>
      <x:c r="P44" s="84" t="str">
        <x:v>Related background, lower priority: useful for the broader idea that correlated measurements/noise models can beat simple linewidth-resolution expectations.</x:v>
      </x:c>
      <x:c r="Q44" s="84" t="str"/>
      <x:c r="R44" s="84" t="str">
        <x:v>database paper</x:v>
      </x:c>
    </x:row>
    <x:row r="45" ht="46" customHeight="1">
      <x:c r="A45" s="82" t="str">
        <x:v>PN-041</x:v>
      </x:c>
      <x:c r="B45" s="84" t="str">
        <x:v>Precise Spectroscopy of High-Frequency Oscillating Fields with a Single-Qubit Sensor</x:v>
      </x:c>
      <x:c r="C45" s="84" t="str">
        <x:v>Yaoming Chu, Pengcheng Yang, Musang Gong, Min Yu, Baiyi Yu, Martin B. Plenio, Alex Retzker, Jianming Cai</x:v>
      </x:c>
      <x:c r="D45" s="83" t="n">
        <x:v>2020</x:v>
      </x:c>
      <x:c r="E45" s="84" t="str">
        <x:v>arXiv</x:v>
      </x:c>
      <x:c r="F45" s="85" t="str">
        <x:v>https://arxiv.org/abs/2009.05458</x:v>
      </x:c>
      <x:c r="G45" s="85" t="str">
        <x:v>10.48550/arXiv.2009.05458</x:v>
      </x:c>
      <x:c r="H45" s="85" t="str">
        <x:v>2009.05458</x:v>
      </x:c>
      <x:c r="I45" s="86" t="str">
        <x:v>No</x:v>
      </x:c>
      <x:c r="J45" s="86" t="str">
        <x:v>No</x:v>
      </x:c>
      <x:c r="K45" s="86" t="str">
        <x:v>Yes</x:v>
      </x:c>
      <x:c r="L45" s="84" t="str"/>
      <x:c r="M45" s="84" t="str">
        <x:v>clock-assisted-qubit-spectroscopy</x:v>
      </x:c>
      <x:c r="N45" s="84" t="str">
        <x:v>to-read</x:v>
      </x:c>
      <x:c r="O45" s="84" t="str">
        <x:v>classical-clock, dynamical-decoupling, frequency-estimation, quantum-spectroscopy, retzker, single-qubit-sensor, t2-limit</x:v>
      </x:c>
      <x:c r="P45" s="84" t="str">
        <x:v>Good bridge to superconducting qubit ideas: repeated qubit-sensor interrogations plus clocked phase correlations rather than relying on one long coherent probe evolution.</x:v>
      </x:c>
      <x:c r="Q45" s="84" t="str"/>
      <x:c r="R45" s="84" t="str">
        <x:v>database paper</x:v>
      </x:c>
    </x:row>
    <x:row r="46" ht="46" customHeight="1">
      <x:c r="A46" s="82" t="str">
        <x:v>PN-042</x:v>
      </x:c>
      <x:c r="B46" s="84" t="str">
        <x:v>Achieving the ultimate precision limit in quantum NMR spectroscopy</x:v>
      </x:c>
      <x:c r="C46" s="84" t="str">
        <x:v>Daniel Cohen, Tuvia Gefen, Laura Ortiz, Alex Retzker</x:v>
      </x:c>
      <x:c r="D46" s="83" t="n">
        <x:v>2019</x:v>
      </x:c>
      <x:c r="E46" s="84" t="str">
        <x:v>arXiv</x:v>
      </x:c>
      <x:c r="F46" s="85" t="str">
        <x:v>https://arxiv.org/abs/1912.09062</x:v>
      </x:c>
      <x:c r="G46" s="85" t="str">
        <x:v>10.48550/arXiv.1912.09062</x:v>
      </x:c>
      <x:c r="H46" s="85" t="str">
        <x:v>1912.09062</x:v>
      </x:c>
      <x:c r="I46" s="86" t="str">
        <x:v>No</x:v>
      </x:c>
      <x:c r="J46" s="86" t="str">
        <x:v>No</x:v>
      </x:c>
      <x:c r="K46" s="86" t="str">
        <x:v>Yes</x:v>
      </x:c>
      <x:c r="L46" s="84" t="str"/>
      <x:c r="M46" s="84" t="str">
        <x:v>ultimate-precision-quantum-nmr</x:v>
      </x:c>
      <x:c r="N46" s="84" t="str">
        <x:v>to-read</x:v>
      </x:c>
      <x:c r="O46" s="84" t="str">
        <x:v>larmor-frequency, nano-nmr, precision-limit, quantum-nmr, quantum-sensing, retzker, spectroscopy</x:v>
      </x:c>
      <x:c r="P46" s="84" t="str">
        <x:v>Useful limit paper for discussing what spectroscopy can recover with optimized control/measurement even when direct addressing/readout assumptions fail.</x:v>
      </x:c>
      <x:c r="Q46" s="84" t="str"/>
      <x:c r="R46" s="84" t="str">
        <x:v>database paper</x:v>
      </x:c>
    </x:row>
    <x:row r="47" ht="46" customHeight="1">
      <x:c r="A47" s="82" t="str">
        <x:v>PN-043</x:v>
      </x:c>
      <x:c r="B47" s="84" t="str">
        <x:v>Experimental verification of the inertial theorem control protocols</x:v>
      </x:c>
      <x:c r="C47" s="84" t="str">
        <x:v>Chang-Kang Hu, Roie Dann, Jin-Ming Cui, Yun-Feng Huang, Chuan-Feng Li, Guang-Can Guo, Alan C. Santos, Ronnie Kosloff</x:v>
      </x:c>
      <x:c r="D47" s="83" t="n">
        <x:v>2019</x:v>
      </x:c>
      <x:c r="E47" s="84" t="str">
        <x:v>arXiv / New Journal of Physics</x:v>
      </x:c>
      <x:c r="F47" s="85" t="str">
        <x:v>https://arxiv.org/abs/1903.00404</x:v>
      </x:c>
      <x:c r="G47" s="85" t="str">
        <x:v>10.48550/arXiv.1903.00404</x:v>
      </x:c>
      <x:c r="H47" s="85" t="str">
        <x:v>1903.00404</x:v>
      </x:c>
      <x:c r="I47" s="86" t="str">
        <x:v>No</x:v>
      </x:c>
      <x:c r="J47" s="86" t="str">
        <x:v>No</x:v>
      </x:c>
      <x:c r="K47" s="86" t="str">
        <x:v>Yes</x:v>
      </x:c>
      <x:c r="L47" s="84" t="str"/>
      <x:c r="M47" s="84" t="str">
        <x:v>adiabatic-basis-and-inertial-control</x:v>
      </x:c>
      <x:c r="N47" s="84" t="str">
        <x:v>to-read</x:v>
      </x:c>
      <x:c r="O47" s="84" t="str">
        <x:v>adiabatic-limit, dann, experimental-control, inertial-theorem, kosloff, nonadiabatic, qubit-control, su2</x:v>
      </x:c>
      <x:c r="P47" s="84" t="str">
        <x:v>Useful because it translates the inertial/adiabatic-basis idea into a controlled two-level experimental system, closer to qubit spectroscopy than purely formal theory.</x:v>
      </x:c>
      <x:c r="Q47" s="84" t="str"/>
      <x:c r="R47" s="84" t="str">
        <x:v>database paper</x:v>
      </x:c>
    </x:row>
    <x:row r="48" ht="46" customHeight="1">
      <x:c r="A48" s="82" t="str">
        <x:v>PN-044</x:v>
      </x:c>
      <x:c r="B48" s="84" t="str">
        <x:v>Inertial Theorem: Overcoming the Quantum Adiabatic Limit</x:v>
      </x:c>
      <x:c r="C48" s="84" t="str">
        <x:v>Roie Dann, Ronnie Kosloff</x:v>
      </x:c>
      <x:c r="D48" s="83" t="n">
        <x:v>2018</x:v>
      </x:c>
      <x:c r="E48" s="84" t="str">
        <x:v>arXiv / Physical Review Research</x:v>
      </x:c>
      <x:c r="F48" s="85" t="str">
        <x:v>https://arxiv.org/abs/1810.12094</x:v>
      </x:c>
      <x:c r="G48" s="85" t="str">
        <x:v>10.48550/arXiv.1810.12094</x:v>
      </x:c>
      <x:c r="H48" s="85" t="str">
        <x:v>1810.12094</x:v>
      </x:c>
      <x:c r="I48" s="86" t="str">
        <x:v>No</x:v>
      </x:c>
      <x:c r="J48" s="86" t="str">
        <x:v>No</x:v>
      </x:c>
      <x:c r="K48" s="86" t="str">
        <x:v>Yes</x:v>
      </x:c>
      <x:c r="L48" s="84" t="str"/>
      <x:c r="M48" s="84" t="str">
        <x:v>adiabatic-basis-and-inertial-control</x:v>
      </x:c>
      <x:c r="N48" s="84" t="str">
        <x:v>to-read</x:v>
      </x:c>
      <x:c r="O48" s="84" t="str">
        <x:v>adiabatic-limit, dann, driven-systems, geometric-phase, inertial-theorem, kosloff, pulse-shaping, quantum-control</x:v>
      </x:c>
      <x:c r="P48" s="84" t="str">
        <x:v>Most relevant Kosloff paper for your “adiabatic basis but not necessarily slow” question. Useful conceptual background for describing shaped pulses in a moving/effective basis.</x:v>
      </x:c>
      <x:c r="Q48" s="84" t="str"/>
      <x:c r="R48" s="84" t="str">
        <x:v>database paper</x:v>
      </x:c>
    </x:row>
    <x:row r="49" ht="46" customHeight="1">
      <x:c r="A49" s="82" t="str">
        <x:v>PN-045</x:v>
      </x:c>
      <x:c r="B49" s="84" t="str">
        <x:v>Robust high-fidelity coherent control of two-state systems by detuning pulses</x:v>
      </x:c>
      <x:c r="C49" s="84" t="str">
        <x:v>Boyan T. Torosov, Nikolay V. Vitanov</x:v>
      </x:c>
      <x:c r="D49" s="83" t="n">
        <x:v>2018</x:v>
      </x:c>
      <x:c r="E49" s="84" t="str">
        <x:v>arXiv</x:v>
      </x:c>
      <x:c r="F49" s="85" t="str">
        <x:v>https://arxiv.org/abs/1810.03832</x:v>
      </x:c>
      <x:c r="G49" s="85" t="str">
        <x:v>10.48550/arXiv.1810.03832</x:v>
      </x:c>
      <x:c r="H49" s="85" t="str">
        <x:v>1810.03832</x:v>
      </x:c>
      <x:c r="I49" s="86" t="str">
        <x:v>No</x:v>
      </x:c>
      <x:c r="J49" s="86" t="str">
        <x:v>No</x:v>
      </x:c>
      <x:c r="K49" s="86" t="str">
        <x:v>Yes</x:v>
      </x:c>
      <x:c r="L49" s="84" t="str"/>
      <x:c r="M49" s="84" t="str">
        <x:v>narrowband-control-theory</x:v>
      </x:c>
      <x:c r="N49" s="84" t="str">
        <x:v>to-read</x:v>
      </x:c>
      <x:c r="O49" s="84" t="str">
        <x:v>detuning-pulses, narrowband, pulse-shaping, robust-control, spectroscopy, two-state-systems, vitanov</x:v>
      </x:c>
      <x:c r="P49" s="84" t="str">
        <x:v>Useful theory bridge for shaped spectroscopy: narrowband transition profiles controlled through detuning pulses rather than only amplitude envelopes.</x:v>
      </x:c>
      <x:c r="Q49" s="84" t="str"/>
      <x:c r="R49" s="84" t="str">
        <x:v>database paper</x:v>
      </x:c>
    </x:row>
    <x:row r="50" ht="46" customHeight="1">
      <x:c r="A50" s="82" t="str">
        <x:v>PN-046</x:v>
      </x:c>
      <x:c r="B50" s="84" t="str">
        <x:v>Time Dependent Markovian Quantum Master Equation</x:v>
      </x:c>
      <x:c r="C50" s="84" t="str">
        <x:v>Roie Dann, Amikam Levy, Ronnie Kosloff</x:v>
      </x:c>
      <x:c r="D50" s="83" t="n">
        <x:v>2018</x:v>
      </x:c>
      <x:c r="E50" s="84" t="str">
        <x:v>arXiv / Physical Review A</x:v>
      </x:c>
      <x:c r="F50" s="85" t="str">
        <x:v>https://arxiv.org/abs/1805.10689</x:v>
      </x:c>
      <x:c r="G50" s="85" t="str">
        <x:v>10.48550/arXiv.1805.10689</x:v>
      </x:c>
      <x:c r="H50" s="85" t="str">
        <x:v>1805.10689</x:v>
      </x:c>
      <x:c r="I50" s="86" t="str">
        <x:v>No</x:v>
      </x:c>
      <x:c r="J50" s="86" t="str">
        <x:v>No</x:v>
      </x:c>
      <x:c r="K50" s="86" t="str">
        <x:v>Yes</x:v>
      </x:c>
      <x:c r="L50" s="84" t="str"/>
      <x:c r="M50" s="84" t="str">
        <x:v>nonadiabatic-driven-open-systems</x:v>
      </x:c>
      <x:c r="N50" s="84" t="str">
        <x:v>to-read</x:v>
      </x:c>
      <x:c r="O50" s="84" t="str">
        <x:v>adiabatic-basis, coherence, dann, driven-open-systems, kosloff, levy, master-equation, nonadiabatic</x:v>
      </x:c>
      <x:c r="P50" s="84" t="str">
        <x:v>Relevant if your shaped spectroscopy pulses need an open-system description where the drive modifies the effective basis and population/coherence dynamics.</x:v>
      </x:c>
      <x:c r="Q50" s="84" t="str"/>
      <x:c r="R50" s="84" t="str">
        <x:v>database paper</x:v>
      </x:c>
    </x:row>
    <x:row r="51" ht="46" customHeight="1">
      <x:c r="A51" s="82" t="str">
        <x:v>PN-047</x:v>
      </x:c>
      <x:c r="B51" s="84" t="str">
        <x:v>Loschmidt echo for quantum metrology</x:v>
      </x:c>
      <x:c r="C51" s="84" t="str">
        <x:v>Tommaso Macri, Luca Pezze, Augusto Smerzi</x:v>
      </x:c>
      <x:c r="D51" s="83" t="n">
        <x:v>2016</x:v>
      </x:c>
      <x:c r="E51" s="84" t="str">
        <x:v>Physical Review A</x:v>
      </x:c>
      <x:c r="F51" s="85" t="str">
        <x:v>https://arxiv.org/abs/1604.04246</x:v>
      </x:c>
      <x:c r="G51" s="85" t="str">
        <x:v>10.1103/PhysRevA.94.010102</x:v>
      </x:c>
      <x:c r="H51" s="85" t="str">
        <x:v>1604.04246</x:v>
      </x:c>
      <x:c r="I51" s="86" t="str">
        <x:v>No</x:v>
      </x:c>
      <x:c r="J51" s="86" t="str">
        <x:v>No</x:v>
      </x:c>
      <x:c r="K51" s="86" t="str">
        <x:v>Yes</x:v>
      </x:c>
      <x:c r="L51" s="84" t="str"/>
      <x:c r="M51" s="84" t="str">
        <x:v>loschmidt-echo-metrology</x:v>
      </x:c>
      <x:c r="N51" s="84" t="str">
        <x:v>to-read</x:v>
      </x:c>
      <x:c r="O51" s="84" t="str">
        <x:v>echo, loschmidt-echo, quantum-fisher-information, quantum-metrology, sensing, time-reversal</x:v>
      </x:c>
      <x:c r="P51" s="84" t="str">
        <x:v>Useful conceptual parallel: time reversal/echo signal as a metrological observable. Not superconducting-specific, but relevant for echo-as-spectroscopy framing.</x:v>
      </x:c>
      <x:c r="Q51" s="84" t="str"/>
      <x:c r="R51" s="84" t="str">
        <x:v>database paper</x:v>
      </x:c>
    </x:row>
    <x:row r="52" ht="46" customHeight="1">
      <x:c r="A52" s="82" t="str">
        <x:v>PN-048</x:v>
      </x:c>
      <x:c r="B52" s="84" t="str">
        <x:v>Quantum spectroscopy of single spins assisted by a classical clock</x:v>
      </x:c>
      <x:c r="C52" s="84" t="str">
        <x:v>Tuvia Gefen, Maxim Khodas, Liam P. McGuinness, Fedor Jelezko, Alex Retzker</x:v>
      </x:c>
      <x:c r="D52" s="83" t="n">
        <x:v>2016</x:v>
      </x:c>
      <x:c r="E52" s="84" t="str">
        <x:v>arXiv</x:v>
      </x:c>
      <x:c r="F52" s="85" t="str">
        <x:v>https://arxiv.org/abs/1612.07225</x:v>
      </x:c>
      <x:c r="G52" s="85" t="str">
        <x:v>10.48550/arXiv.1612.07225</x:v>
      </x:c>
      <x:c r="H52" s="85" t="str">
        <x:v>1612.07225</x:v>
      </x:c>
      <x:c r="I52" s="86" t="str">
        <x:v>No</x:v>
      </x:c>
      <x:c r="J52" s="86" t="str">
        <x:v>No</x:v>
      </x:c>
      <x:c r="K52" s="86" t="str">
        <x:v>Yes</x:v>
      </x:c>
      <x:c r="L52" s="84" t="str"/>
      <x:c r="M52" s="84" t="str">
        <x:v>beyond-probe-t2-spectroscopy</x:v>
      </x:c>
      <x:c r="N52" s="84" t="str">
        <x:v>to-read</x:v>
      </x:c>
      <x:c r="O52" s="84" t="str">
        <x:v>classical-clock, correlation-spectroscopy, nano-nmr, quantum-spectroscopy, retzker, single-spin, t2-limit</x:v>
      </x:c>
      <x:c r="P52" s="84" t="str">
        <x:v>Central fit for T2-limit breaking: explicitly argues that probe coherence need not be the main resolution limit when phase correlations are tracked with a stable clock.</x:v>
      </x:c>
      <x:c r="Q52" s="84" t="str"/>
      <x:c r="R52" s="84" t="str">
        <x:v>database paper</x:v>
      </x:c>
    </x:row>
    <x:row r="53" ht="46" customHeight="1">
      <x:c r="A53" s="82" t="str">
        <x:v>PN-049</x:v>
      </x:c>
      <x:c r="B53" s="84" t="str">
        <x:v>Rotating-frame relaxation as a noise spectrum analyzer of a superconducting qubit undergoing driven evolution</x:v>
      </x:c>
      <x:c r="C53" s="84" t="str">
        <x:v>Fei Yan, Simon Gustavsson, Jonas Bylander, Xuedong Jin, Fumiki Yoshihara, David G. Cory, Yasunobu Nakamura, Terry P. Orlando, William D. Oliver</x:v>
      </x:c>
      <x:c r="D53" s="83" t="n">
        <x:v>2015</x:v>
      </x:c>
      <x:c r="E53" s="84" t="str">
        <x:v>Nature Communications / arXiv</x:v>
      </x:c>
      <x:c r="F53" s="85" t="str">
        <x:v>https://arxiv.org/abs/1508.06436</x:v>
      </x:c>
      <x:c r="G53" s="85" t="str">
        <x:v>10.1038/ncomms12964</x:v>
      </x:c>
      <x:c r="H53" s="85" t="str">
        <x:v>1508.06436</x:v>
      </x:c>
      <x:c r="I53" s="86" t="str">
        <x:v>No</x:v>
      </x:c>
      <x:c r="J53" s="86" t="str">
        <x:v>No</x:v>
      </x:c>
      <x:c r="K53" s="86" t="str">
        <x:v>Yes</x:v>
      </x:c>
      <x:c r="L53" s="84" t="str"/>
      <x:c r="M53" s="84" t="str">
        <x:v>superconducting-driven-echo-spectroscopy</x:v>
      </x:c>
      <x:c r="N53" s="84" t="str">
        <x:v>to-read</x:v>
      </x:c>
      <x:c r="O53" s="84" t="str">
        <x:v>driven-evolution, flux-qubit, noise-spectroscopy, rotating-frame, spin-echo, spin-locking, superconducting-qubits</x:v>
      </x:c>
      <x:c r="P53" s="84" t="str">
        <x:v>Good fit for your shaped-drive spectroscopy context: spectroscopy during driven evolution, not just free Ramsey/Hahn evolution.</x:v>
      </x:c>
      <x:c r="Q53" s="84" t="str"/>
      <x:c r="R53" s="84" t="str">
        <x:v>database paper</x:v>
      </x:c>
    </x:row>
    <x:row r="54" ht="46" customHeight="1">
      <x:c r="A54" s="82" t="str">
        <x:v>PN-050</x:v>
      </x:c>
      <x:c r="B54" s="84" t="str">
        <x:v>Arbitrarily accurate passband composite pulses for dynamical suppression of amplitude noise</x:v>
      </x:c>
      <x:c r="C54" s="84" t="str">
        <x:v>Elica Kyoseva, Nikolay V. Vitanov</x:v>
      </x:c>
      <x:c r="D54" s="83" t="n">
        <x:v>2013</x:v>
      </x:c>
      <x:c r="E54" s="84" t="str">
        <x:v>arXiv</x:v>
      </x:c>
      <x:c r="F54" s="85" t="str">
        <x:v>https://arxiv.org/abs/1310.7145</x:v>
      </x:c>
      <x:c r="G54" s="85" t="str">
        <x:v>10.48550/arXiv.1310.7145</x:v>
      </x:c>
      <x:c r="H54" s="85" t="str">
        <x:v>1310.7145</x:v>
      </x:c>
      <x:c r="I54" s="86" t="str">
        <x:v>No</x:v>
      </x:c>
      <x:c r="J54" s="86" t="str">
        <x:v>No</x:v>
      </x:c>
      <x:c r="K54" s="86" t="str">
        <x:v>Yes</x:v>
      </x:c>
      <x:c r="L54" s="84" t="str"/>
      <x:c r="M54" s="84" t="str">
        <x:v>amplitude-robust-passband-pulses</x:v>
      </x:c>
      <x:c r="N54" s="84" t="str">
        <x:v>to-read</x:v>
      </x:c>
      <x:c r="O54" s="84" t="str">
        <x:v>amplitude-noise, composite-pulses, narrowband, passband, pulse-shaping, robust-control, vitanov</x:v>
      </x:c>
      <x:c r="P54" s="84" t="str">
        <x:v>Relevant to amplitude robustness and controllable profile width; useful background for framing root-Lorentzian/echo pulse robustness against amplitude variation.</x:v>
      </x:c>
      <x:c r="Q54" s="84" t="str"/>
      <x:c r="R54" s="84" t="str">
        <x:v>database paper</x:v>
      </x:c>
    </x:row>
    <x:row r="55" ht="46" customHeight="1">
      <x:c r="A55" s="82" t="str">
        <x:v>PN-051</x:v>
      </x:c>
      <x:c r="B55" s="84" t="str">
        <x:v>Control of qubits by shaped pulses of finite duration</x:v>
      </x:c>
      <x:c r="C55" s="84" t="str">
        <x:v>Iavor I. Boradjiev, Nikolay V. Vitanov</x:v>
      </x:c>
      <x:c r="D55" s="83" t="n">
        <x:v>2013</x:v>
      </x:c>
      <x:c r="E55" s="84" t="str">
        <x:v>Physical Review A</x:v>
      </x:c>
      <x:c r="F55" s="85" t="str">
        <x:v>https://doi.org/10.1103/PhysRevA.88.013402</x:v>
      </x:c>
      <x:c r="G55" s="85" t="str">
        <x:v>10.1103/PhysRevA.88.013402</x:v>
      </x:c>
      <x:c r="H55" s="85" t="str"/>
      <x:c r="I55" s="86" t="str">
        <x:v>No</x:v>
      </x:c>
      <x:c r="J55" s="86" t="str">
        <x:v>No</x:v>
      </x:c>
      <x:c r="K55" s="86" t="str">
        <x:v>Yes</x:v>
      </x:c>
      <x:c r="L55" s="84" t="str"/>
      <x:c r="M55" s="84" t="str">
        <x:v>shaped-qubit-pulses-background</x:v>
      </x:c>
      <x:c r="N55" s="84" t="str">
        <x:v>to-read</x:v>
      </x:c>
      <x:c r="O55" s="84" t="str">
        <x:v>finite-duration, pulse-shaping, qubit-control, shaped-pulses, spectroscopy, two-state-systems, vitanov</x:v>
      </x:c>
      <x:c r="P55" s="84" t="str">
        <x:v>Important cited background for translating power-narrowing pulse-shape ideas into qubit-control language.</x:v>
      </x:c>
      <x:c r="Q55" s="84" t="str"/>
      <x:c r="R55" s="84" t="str">
        <x:v>database paper</x:v>
      </x:c>
    </x:row>
    <x:row r="56" ht="46" customHeight="1">
      <x:c r="A56" s="82" t="str">
        <x:v>PN-052</x:v>
      </x:c>
      <x:c r="B56" s="84" t="str">
        <x:v>Avoiding power broadening in optically detected magnetic resonance of single NV defects for enhanced dc magnetic field sensitivity</x:v>
      </x:c>
      <x:c r="C56" s="84" t="str">
        <x:v>A. Dreau, M. Lesik, L. Rondin, P. Spinicelli, O. Arcizet, J.-F. Roch, V. Jacques</x:v>
      </x:c>
      <x:c r="D56" s="83" t="n">
        <x:v>2011</x:v>
      </x:c>
      <x:c r="E56" s="84" t="str">
        <x:v>Physical Review B</x:v>
      </x:c>
      <x:c r="F56" s="85" t="str">
        <x:v>https://doi.org/10.1103/PhysRevB.84.195204</x:v>
      </x:c>
      <x:c r="G56" s="85" t="str">
        <x:v>10.1103/PhysRevB.84.195204</x:v>
      </x:c>
      <x:c r="H56" s="85" t="str"/>
      <x:c r="I56" s="86" t="str">
        <x:v>No</x:v>
      </x:c>
      <x:c r="J56" s="86" t="str">
        <x:v>No</x:v>
      </x:c>
      <x:c r="K56" s="86" t="str">
        <x:v>Yes</x:v>
      </x:c>
      <x:c r="L56" s="84" t="str"/>
      <x:c r="M56" s="84" t="str">
        <x:v>power-broadening-practical-sensitivity</x:v>
      </x:c>
      <x:c r="N56" s="84" t="str">
        <x:v>to-read</x:v>
      </x:c>
      <x:c r="O56" s="84" t="str">
        <x:v>contrast, magnetic-resonance, nv-centers, power-broadening, sensitivity, spectroscopy</x:v>
      </x:c>
      <x:c r="P56" s="84" t="str">
        <x:v>High-citation cited reference. Different platform, but useful for motivation: narrower driven resonance improves metrological/spectroscopic sensitivity.</x:v>
      </x:c>
      <x:c r="Q56" s="84" t="str"/>
      <x:c r="R56" s="84" t="str">
        <x:v>database paper</x:v>
      </x:c>
    </x:row>
    <x:row r="57" ht="46" customHeight="1">
      <x:c r="A57" s="82" t="str">
        <x:v>PN-053</x:v>
      </x:c>
      <x:c r="B57" s="84" t="str">
        <x:v>Dynamical decoupling and noise spectroscopy with a superconducting flux qubit</x:v>
      </x:c>
      <x:c r="C57" s="84" t="str">
        <x:v>Jonas Bylander, Simon Gustavsson, Fei Yan, Fumiki Yoshihara, Khalil Harrabi, George Fitch, David G. Cory, Yasunobu Nakamura, Jaw-Shen Tsai, William D. Oliver</x:v>
      </x:c>
      <x:c r="D57" s="83" t="n">
        <x:v>2011</x:v>
      </x:c>
      <x:c r="E57" s="84" t="str">
        <x:v>Nature Physics / arXiv</x:v>
      </x:c>
      <x:c r="F57" s="85" t="str">
        <x:v>https://arxiv.org/abs/1101.4707</x:v>
      </x:c>
      <x:c r="G57" s="85" t="str">
        <x:v>10.1038/nphys1994</x:v>
      </x:c>
      <x:c r="H57" s="85" t="str">
        <x:v>1101.4707</x:v>
      </x:c>
      <x:c r="I57" s="86" t="str">
        <x:v>No</x:v>
      </x:c>
      <x:c r="J57" s="86" t="str">
        <x:v>No</x:v>
      </x:c>
      <x:c r="K57" s="86" t="str">
        <x:v>Yes</x:v>
      </x:c>
      <x:c r="L57" s="84" t="str"/>
      <x:c r="M57" s="84" t="str">
        <x:v>superconducting-echo-noise-spectroscopy</x:v>
      </x:c>
      <x:c r="N57" s="84" t="str">
        <x:v>to-read</x:v>
      </x:c>
      <x:c r="O57" s="84" t="str">
        <x:v>cpmg, dynamical-decoupling, echo, flux-qubit, noise-spectroscopy, oliver, superconducting-qubits</x:v>
      </x:c>
      <x:c r="P57" s="84" t="str">
        <x:v>Very relevant hardware-context paper: echo/CPMG as spectroscopy/filtering in superconducting qubits.</x:v>
      </x:c>
      <x:c r="Q57" s="84" t="str"/>
      <x:c r="R57" s="84" t="str">
        <x:v>database paper</x:v>
      </x:c>
    </x:row>
    <x:row r="58" ht="46" customHeight="1">
      <x:c r="A58" s="82" t="str">
        <x:v>PN-054</x:v>
      </x:c>
      <x:c r="B58" s="84" t="str">
        <x:v>Effects of pulse shape on strongly driven two-level systems</x:v>
      </x:c>
      <x:c r="C58" s="84" t="str">
        <x:v>C. W. S. Conover</x:v>
      </x:c>
      <x:c r="D58" s="83" t="n">
        <x:v>2011</x:v>
      </x:c>
      <x:c r="E58" s="84" t="str">
        <x:v>Physical Review A</x:v>
      </x:c>
      <x:c r="F58" s="85" t="str">
        <x:v>https://doi.org/10.1103/PhysRevA.84.063416</x:v>
      </x:c>
      <x:c r="G58" s="85" t="str">
        <x:v>10.1103/PhysRevA.84.063416</x:v>
      </x:c>
      <x:c r="H58" s="85" t="str"/>
      <x:c r="I58" s="86" t="str">
        <x:v>No</x:v>
      </x:c>
      <x:c r="J58" s="86" t="str">
        <x:v>No</x:v>
      </x:c>
      <x:c r="K58" s="86" t="str">
        <x:v>Yes</x:v>
      </x:c>
      <x:c r="L58" s="84" t="str"/>
      <x:c r="M58" s="84" t="str">
        <x:v>pulse-shape-line-profile-background</x:v>
      </x:c>
      <x:c r="N58" s="84" t="str">
        <x:v>to-read</x:v>
      </x:c>
      <x:c r="O58" s="84" t="str">
        <x:v>line-profile, power-broadening, pulse-shape, spectroscopy, strong-driving, two-level-systems</x:v>
      </x:c>
      <x:c r="P58" s="84" t="str">
        <x:v>Important cited background for comparing rectangular, Gaussian, Lorentzian, and other shaped pulses under strong drive.</x:v>
      </x:c>
      <x:c r="Q58" s="84" t="str"/>
      <x:c r="R58" s="84" t="str">
        <x:v>database paper</x:v>
      </x:c>
    </x:row>
    <x:row r="59" ht="46" customHeight="1">
      <x:c r="A59" s="82" t="str">
        <x:v>PN-055</x:v>
      </x:c>
      <x:c r="B59" s="84" t="str">
        <x:v>Trace Isotope Detection Enhanced by Coherent Elimination of Power Broadening</x:v>
      </x:c>
      <x:c r="C59" s="84" t="str">
        <x:v>A. Peralta Conde, Lukas Brandt, Thomas Halfmann</x:v>
      </x:c>
      <x:c r="D59" s="83" t="n">
        <x:v>2006</x:v>
      </x:c>
      <x:c r="E59" s="84" t="str">
        <x:v>Physical Review Letters</x:v>
      </x:c>
      <x:c r="F59" s="85" t="str">
        <x:v>https://doi.org/10.1103/PhysRevLett.97.243004</x:v>
      </x:c>
      <x:c r="G59" s="85" t="str">
        <x:v>10.1103/PhysRevLett.97.243004</x:v>
      </x:c>
      <x:c r="H59" s="85" t="str"/>
      <x:c r="I59" s="86" t="str">
        <x:v>No</x:v>
      </x:c>
      <x:c r="J59" s="86" t="str">
        <x:v>No</x:v>
      </x:c>
      <x:c r="K59" s="86" t="str">
        <x:v>Yes</x:v>
      </x:c>
      <x:c r="L59" s="84" t="str"/>
      <x:c r="M59" s="84" t="str">
        <x:v>power-broadening-suppression-background</x:v>
      </x:c>
      <x:c r="N59" s="84" t="str">
        <x:v>important</x:v>
      </x:c>
      <x:c r="O59" s="84" t="str">
        <x:v>coherent-control, high-resolution, line-narrowing, power-broadening, spectroscopy, suppression</x:v>
      </x:c>
      <x:c r="P59" s="84" t="str">
        <x:v>Important cited comparison point: power broadening can be eliminated by coherent spectroscopy mechanisms, separate from Lorentzian-pulse power narrowing.</x:v>
      </x:c>
      <x:c r="Q59" s="84" t="str"/>
      <x:c r="R59" s="84" t="str">
        <x:v>database paper</x:v>
      </x:c>
    </x:row>
    <x:row r="60" ht="46" customHeight="1">
      <x:c r="A60" s="82" t="str">
        <x:v>PN-056</x:v>
      </x:c>
      <x:c r="B60" s="84" t="str">
        <x:v>Fluorescence microscopy with diffraction resolution barrier broken by stimulated emission</x:v>
      </x:c>
      <x:c r="C60" s="84" t="str">
        <x:v>Thomas A. Klar, Stefan Jakobs, Marcus Dyba, Alexander Egner, Stefan W. Hell</x:v>
      </x:c>
      <x:c r="D60" s="83" t="n">
        <x:v>2000</x:v>
      </x:c>
      <x:c r="E60" s="84" t="str">
        <x:v>Proceedings of the National Academy of Sciences</x:v>
      </x:c>
      <x:c r="F60" s="85" t="str">
        <x:v>https://doi.org/10.1073/PNAS.97.15.8206</x:v>
      </x:c>
      <x:c r="G60" s="85" t="str">
        <x:v>10.1073/PNAS.97.15.8206</x:v>
      </x:c>
      <x:c r="H60" s="85" t="str"/>
      <x:c r="I60" s="86" t="str">
        <x:v>No</x:v>
      </x:c>
      <x:c r="J60" s="86" t="str">
        <x:v>No</x:v>
      </x:c>
      <x:c r="K60" s="86" t="str">
        <x:v>Yes</x:v>
      </x:c>
      <x:c r="L60" s="84" t="str"/>
      <x:c r="M60" s="84" t="str">
        <x:v>nonlinear-depletion-analogy</x:v>
      </x:c>
      <x:c r="N60" s="84" t="str">
        <x:v>important</x:v>
      </x:c>
      <x:c r="O60" s="84" t="str">
        <x:v>experimental-demonstration, narrowing, nonlinear-response, saturation, sted, stimulated-emission-depletion</x:v>
      </x:c>
      <x:c r="P60" s="84" t="str">
        <x:v>Canonical STED demonstration. Useful as an analogy for engineered depletion/suppression around a narrow surviving response.</x:v>
      </x:c>
      <x:c r="Q60" s="84" t="str"/>
      <x:c r="R60" s="84" t="str">
        <x:v>database paper</x:v>
      </x:c>
    </x:row>
    <x:row r="61" ht="46" customHeight="1">
      <x:c r="A61" s="82" t="str">
        <x:v>PN-057</x:v>
      </x:c>
      <x:c r="B61" s="84" t="str">
        <x:v>The Principles of Quantum Mechanics</x:v>
      </x:c>
      <x:c r="C61" s="84" t="str">
        <x:v>Paul Adrien Maurice Dirac</x:v>
      </x:c>
      <x:c r="D61" s="83" t="n">
        <x:v>1981</x:v>
      </x:c>
      <x:c r="E61" s="84" t="str">
        <x:v>Clarendon Press</x:v>
      </x:c>
      <x:c r="F61" s="85" t="str"/>
      <x:c r="G61" s="85" t="str"/>
      <x:c r="H61" s="85" t="str"/>
      <x:c r="I61" s="86" t="str">
        <x:v>No</x:v>
      </x:c>
      <x:c r="J61" s="86" t="str">
        <x:v>Yes</x:v>
      </x:c>
      <x:c r="K61" s="86" t="str">
        <x:v>No</x:v>
      </x:c>
      <x:c r="L61" s="84" t="str">
        <x:v>dirac</x:v>
      </x:c>
      <x:c r="M61" s="84" t="str"/>
      <x:c r="N61" s="84" t="str"/>
      <x:c r="O61" s="84" t="str">
        <x:v>physics</x:v>
      </x:c>
      <x:c r="P61" s="84" t="str"/>
      <x:c r="Q61" s="84" t="str">
        <x:v>Likely template/example record; retained because it is in the active .bib</x:v>
      </x:c>
      <x:c r="R61" s="84" t="str">
        <x:v>book</x:v>
      </x:c>
    </x:row>
    <x:row r="62" ht="46" customHeight="1">
      <x:c r="A62" s="82" t="str">
        <x:v>PN-058</x:v>
      </x:c>
      <x:c r="B62" s="84" t="str">
        <x:v>Fundamental Algorithms</x:v>
      </x:c>
      <x:c r="C62" s="84" t="str">
        <x:v>Donald E. Knuth</x:v>
      </x:c>
      <x:c r="D62" s="83" t="n">
        <x:v>1973</x:v>
      </x:c>
      <x:c r="E62" s="84" t="str">
        <x:v>Addison-Wesley</x:v>
      </x:c>
      <x:c r="F62" s="85" t="str"/>
      <x:c r="G62" s="85" t="str"/>
      <x:c r="H62" s="85" t="str"/>
      <x:c r="I62" s="86" t="str">
        <x:v>No</x:v>
      </x:c>
      <x:c r="J62" s="86" t="str">
        <x:v>Yes</x:v>
      </x:c>
      <x:c r="K62" s="86" t="str">
        <x:v>No</x:v>
      </x:c>
      <x:c r="L62" s="84" t="str">
        <x:v>knuth-fa</x:v>
      </x:c>
      <x:c r="M62" s="84" t="str"/>
      <x:c r="N62" s="84" t="str"/>
      <x:c r="O62" s="84" t="str">
        <x:v>knuth, programming</x:v>
      </x:c>
      <x:c r="P62" s="84" t="str"/>
      <x:c r="Q62" s="84" t="str">
        <x:v>Likely template/example record; retained because it is in the active .bib</x:v>
      </x:c>
      <x:c r="R62" s="84" t="str">
        <x:v>inbook</x:v>
      </x:c>
    </x:row>
    <x:row r="63" ht="46" customHeight="1">
      <x:c r="A63" s="82" t="str">
        <x:v>PN-059</x:v>
      </x:c>
      <x:c r="B63" s="84" t="str">
        <x:v>Observation of a Photon Echo</x:v>
      </x:c>
      <x:c r="C63" s="84" t="str">
        <x:v>N. A. Kurnit, I. D. Abella, S. R. Hartmann</x:v>
      </x:c>
      <x:c r="D63" s="83" t="n">
        <x:v>1964</x:v>
      </x:c>
      <x:c r="E63" s="84" t="str">
        <x:v>Physical Review Letters</x:v>
      </x:c>
      <x:c r="F63" s="85" t="str">
        <x:v>https://doi.org/10.1103/PhysRevLett.13.567</x:v>
      </x:c>
      <x:c r="G63" s="85" t="str">
        <x:v>10.1103/PhysRevLett.13.567</x:v>
      </x:c>
      <x:c r="H63" s="85" t="str"/>
      <x:c r="I63" s="86" t="str">
        <x:v>No</x:v>
      </x:c>
      <x:c r="J63" s="86" t="str">
        <x:v>No</x:v>
      </x:c>
      <x:c r="K63" s="86" t="str">
        <x:v>Yes</x:v>
      </x:c>
      <x:c r="L63" s="84" t="str"/>
      <x:c r="M63" s="84" t="str">
        <x:v>echo-spectroscopy-foundations</x:v>
      </x:c>
      <x:c r="N63" s="84" t="str">
        <x:v>to-read</x:v>
      </x:c>
      <x:c r="O63" s="84" t="str">
        <x:v>echo-spectroscopy, line-broadening, optical-echo, photon-echo, refocusing, spectroscopy</x:v>
      </x:c>
      <x:c r="P63" s="84" t="str">
        <x:v>Good historical bridge from spin echo to spectroscopy: echo refocusing as a way to recover narrow coherent response from inhomogeneous broadening.</x:v>
      </x:c>
      <x:c r="Q63" s="84" t="str"/>
      <x:c r="R63" s="84" t="str">
        <x:v>database paper</x:v>
      </x:c>
    </x:row>
    <x:row r="64" ht="46" customHeight="1">
      <x:c r="A64" s="82" t="str">
        <x:v>PN-060</x:v>
      </x:c>
      <x:c r="B64" s="84" t="str">
        <x:v>Effects of Diffusion on Free Precession in Nuclear Magnetic Resonance Experiments</x:v>
      </x:c>
      <x:c r="C64" s="84" t="str">
        <x:v>H. Y. Carr, Edward M. Purcell</x:v>
      </x:c>
      <x:c r="D64" s="83" t="n">
        <x:v>1954</x:v>
      </x:c>
      <x:c r="E64" s="84" t="str">
        <x:v>Physical Review</x:v>
      </x:c>
      <x:c r="F64" s="85" t="str">
        <x:v>https://doi.org/10.1103/PhysRev.94.630</x:v>
      </x:c>
      <x:c r="G64" s="85" t="str">
        <x:v>10.1103/PhysRev.94.630</x:v>
      </x:c>
      <x:c r="H64" s="85" t="str"/>
      <x:c r="I64" s="86" t="str">
        <x:v>No</x:v>
      </x:c>
      <x:c r="J64" s="86" t="str">
        <x:v>No</x:v>
      </x:c>
      <x:c r="K64" s="86" t="str">
        <x:v>Yes</x:v>
      </x:c>
      <x:c r="L64" s="84" t="str"/>
      <x:c r="M64" s="84" t="str">
        <x:v>echo-foundations</x:v>
      </x:c>
      <x:c r="N64" s="84" t="str">
        <x:v>to-read</x:v>
      </x:c>
      <x:c r="O64" s="84" t="str">
        <x:v>carr-purcell, cpmg, dynamical-decoupling, echo, refocusing, spectroscopy</x:v>
      </x:c>
      <x:c r="P64" s="84" t="str">
        <x:v>Background for echo trains and filter-function/noise-spectroscopy thinking; useful if your method is framed against echo or CPMG style refocusing.</x:v>
      </x:c>
      <x:c r="Q64" s="84" t="str"/>
      <x:c r="R64" s="84" t="str">
        <x:v>database paper</x:v>
      </x:c>
    </x:row>
    <x:row r="65" ht="46" customHeight="1">
      <x:c r="A65" s="82" t="str">
        <x:v>PN-061</x:v>
      </x:c>
      <x:c r="B65" s="84" t="str">
        <x:v>Spin Echoes</x:v>
      </x:c>
      <x:c r="C65" s="84" t="str">
        <x:v>E. L. Hahn</x:v>
      </x:c>
      <x:c r="D65" s="83" t="n">
        <x:v>1950</x:v>
      </x:c>
      <x:c r="E65" s="84" t="str">
        <x:v>Physical Review</x:v>
      </x:c>
      <x:c r="F65" s="85" t="str">
        <x:v>https://doi.org/10.1103/PhysRev.80.580</x:v>
      </x:c>
      <x:c r="G65" s="85" t="str">
        <x:v>10.1103/PhysRev.80.580</x:v>
      </x:c>
      <x:c r="H65" s="85" t="str"/>
      <x:c r="I65" s="86" t="str">
        <x:v>No</x:v>
      </x:c>
      <x:c r="J65" s="86" t="str">
        <x:v>No</x:v>
      </x:c>
      <x:c r="K65" s="86" t="str">
        <x:v>Yes</x:v>
      </x:c>
      <x:c r="L65" s="84" t="str"/>
      <x:c r="M65" s="84" t="str">
        <x:v>echo-foundations</x:v>
      </x:c>
      <x:c r="N65" s="84" t="str">
        <x:v>to-read</x:v>
      </x:c>
      <x:c r="O65" s="84" t="str">
        <x:v>coherent-control, echo, hahn-echo, refocusing, spectroscopy, spin-echo</x:v>
      </x:c>
      <x:c r="P65" s="84" t="str">
        <x:v>Foundational echo paper. Useful for explaining the phase-refocusing intuition behind echo-style spectroscopy pulses.</x:v>
      </x:c>
      <x:c r="Q65" s="84" t="str"/>
      <x:c r="R65" s="84" t="str">
        <x:v>database paper</x:v>
      </x:c>
    </x:row>
    <x:row r="66" ht="46" customHeight="1">
      <x:c r="A66" s="82" t="str">
        <x:v>PN-062</x:v>
      </x:c>
      <x:c r="B66" s="84" t="str">
        <x:v>Zur Elektrodynamik bewegter Korper. (German) [On the electrodynamics of moving bodies]</x:v>
      </x:c>
      <x:c r="C66" s="84" t="str">
        <x:v>Albert Einstein</x:v>
      </x:c>
      <x:c r="D66" s="83" t="n">
        <x:v>1905</x:v>
      </x:c>
      <x:c r="E66" s="84" t="str">
        <x:v>Annalen der Physik</x:v>
      </x:c>
      <x:c r="F66" s="85" t="str">
        <x:v>https://doi.org/10.1002/andp.19053221004</x:v>
      </x:c>
      <x:c r="G66" s="85" t="str">
        <x:v>10.1002/andp.19053221004</x:v>
      </x:c>
      <x:c r="H66" s="85" t="str"/>
      <x:c r="I66" s="86" t="str">
        <x:v>No</x:v>
      </x:c>
      <x:c r="J66" s="86" t="str">
        <x:v>Yes</x:v>
      </x:c>
      <x:c r="K66" s="86" t="str">
        <x:v>No</x:v>
      </x:c>
      <x:c r="L66" s="84" t="str">
        <x:v>einstein</x:v>
      </x:c>
      <x:c r="M66" s="84" t="str"/>
      <x:c r="N66" s="84" t="str"/>
      <x:c r="O66" s="84" t="str">
        <x:v>physics</x:v>
      </x:c>
      <x:c r="P66" s="84" t="str"/>
      <x:c r="Q66" s="84" t="str">
        <x:v>Likely template/example record; retained because it is in the active .bib</x:v>
      </x:c>
      <x:c r="R66" s="84" t="str">
        <x:v>article</x:v>
      </x:c>
    </x:row>
    <x:row r="67" ht="46" customHeight="1">
      <x:c r="A67" s="82" t="str">
        <x:v>PN-063</x:v>
      </x:c>
      <x:c r="B67" s="84" t="str">
        <x:v>Knuth: Computers and Typesetting</x:v>
      </x:c>
      <x:c r="C67" s="84" t="str">
        <x:v>Donald Knuth</x:v>
      </x:c>
      <x:c r="D67" s="83"/>
      <x:c r="E67" s="84" t="str"/>
      <x:c r="F67" s="85" t="str">
        <x:v>http://www-cs-faculty.stanford.edu/~uno/abcde.html</x:v>
      </x:c>
      <x:c r="G67" s="85" t="str"/>
      <x:c r="H67" s="85" t="str"/>
      <x:c r="I67" s="86" t="str">
        <x:v>No</x:v>
      </x:c>
      <x:c r="J67" s="86" t="str">
        <x:v>Yes</x:v>
      </x:c>
      <x:c r="K67" s="86" t="str">
        <x:v>No</x:v>
      </x:c>
      <x:c r="L67" s="84" t="str">
        <x:v>knuthwebsite</x:v>
      </x:c>
      <x:c r="M67" s="84" t="str"/>
      <x:c r="N67" s="84" t="str"/>
      <x:c r="O67" s="84" t="str">
        <x:v>knuth, latex</x:v>
      </x:c>
      <x:c r="P67" s="84" t="str"/>
      <x:c r="Q67" s="84" t="str">
        <x:v>Likely template/example record; retained because it is in the active .bib</x:v>
      </x:c>
      <x:c r="R67" s="84" t="str">
        <x:v>online</x:v>
      </x:c>
    </x:row>
  </x:sheetData>
  <x:mergeCells>
    <x:mergeCell ref="A1:R1"/>
    <x:mergeCell ref="A2:R2"/>
  </x:mergeCells>
  <x:conditionalFormatting sqref="I5:K67">
    <x:cfRule type="containsText" dxfId="0" priority="1" operator="containsText" text="Yes"/>
  </x:conditionalFormatting>
  <x:conditionalFormatting sqref="Q5:Q67">
    <x:cfRule type="containsText" dxfId="1" priority="2" operator="containsText" text="template/example"/>
  </x:conditionalFormatting>
  <x:dataValidations count="1">
    <x:dataValidation type="list" sqref="N5:N67">
      <x:formula1>"to-read,reading,read,important,excluded,"</x:formula1>
    </x:dataValidation>
  </x:dataValidations>
  <x:pageMargins left="0.7" right="0.7" top="0.75" bottom="0.75" header="0.3" footer="0.3"/>
  <x:tableParts count="1">
    <x:tablePart xmlns:r="http://schemas.openxmlformats.org/officeDocument/2006/relationships" r:id="R9cf424f161924d5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4" hidden="0" customWidth="1"/>
    <x:col min="3" max="3" width="9" hidden="0" customWidth="1"/>
    <x:col min="4" max="4" width="10" hidden="0" customWidth="1"/>
    <x:col min="5" max="5" width="26" hidden="0" customWidth="1"/>
    <x:col min="6" max="6" width="22" hidden="0" customWidth="1"/>
    <x:col min="7" max="7" width="10" hidden="0" customWidth="1"/>
    <x:col min="8" max="8" width="10" hidden="0" customWidth="1"/>
    <x:col min="9" max="9" width="14" hidden="0" customWidth="1"/>
    <x:col min="10" max="10" width="30" hidden="0" customWidth="1"/>
    <x:col min="11" max="11" width="42" hidden="0" customWidth="1"/>
    <x:col min="12" max="12" width="15" hidden="0" customWidth="1"/>
    <x:col min="13" max="13" width="64" hidden="0" customWidth="1"/>
    <x:col min="14" max="14" width="48" hidden="0" customWidth="1"/>
    <x:col min="15" max="15" width="50" hidden="0" customWidth="1"/>
    <x:col min="16" max="16" width="52" hidden="0" customWidth="1"/>
    <x:col min="17" max="17" width="18" hidden="0" customWidth="1"/>
    <x:col min="18" max="18" width="24" hidden="0" customWidth="1"/>
    <x:col min="19" max="19" width="24" hidden="0" customWidth="1"/>
  </x:cols>
  <x:sheetData>
    <x:row r="1" ht="32" customHeight="1">
      <x:c r="A1" s="3" t="str">
        <x:v>Full Metadata</x:v>
      </x:c>
      <x:c r="B1" s="3"/>
      <x:c r="C1" s="3"/>
      <x:c r="D1" s="3"/>
      <x:c r="E1" s="3"/>
      <x:c r="F1" s="3"/>
      <x:c r="G1" s="3"/>
      <x:c r="H1" s="3"/>
      <x:c r="I1" s="3"/>
      <x:c r="J1" s="3"/>
      <x:c r="K1" s="3"/>
      <x:c r="L1" s="3"/>
      <x:c r="M1" s="3"/>
      <x:c r="N1" s="3"/>
      <x:c r="O1" s="3"/>
      <x:c r="P1" s="3"/>
      <x:c r="Q1" s="3"/>
      <x:c r="R1" s="3"/>
      <x:c r="S1" s="3"/>
    </x:row>
    <x:row r="2" ht="30" customHeight="1">
      <x:c r="A2" s="7" t="str">
        <x:v>Bibliographic details and long-form fields retained after deduplication. Abstracts and local PDF paths come from the original sources when available.</x:v>
      </x:c>
      <x:c r="B2" s="7"/>
      <x:c r="C2" s="7"/>
      <x:c r="D2" s="7"/>
      <x:c r="E2" s="7"/>
      <x:c r="F2" s="7"/>
      <x:c r="G2" s="7"/>
      <x:c r="H2" s="7"/>
      <x:c r="I2" s="7"/>
      <x:c r="J2" s="7"/>
      <x:c r="K2" s="7"/>
      <x:c r="L2" s="7"/>
      <x:c r="M2" s="7"/>
      <x:c r="N2" s="7"/>
      <x:c r="O2" s="7"/>
      <x:c r="P2" s="7"/>
      <x:c r="Q2" s="7"/>
      <x:c r="R2" s="7"/>
      <x:c r="S2" s="7"/>
    </x:row>
    <x:row r="4" ht="30" customHeight="1">
      <x:c r="A4" s="82" t="str">
        <x:v>Record ID</x:v>
      </x:c>
      <x:c r="B4" s="82" t="str">
        <x:v>Title</x:v>
      </x:c>
      <x:c r="C4" s="82" t="str">
        <x:v>Year</x:v>
      </x:c>
      <x:c r="D4" s="82" t="str">
        <x:v>Month</x:v>
      </x:c>
      <x:c r="E4" s="82" t="str">
        <x:v>Venue</x:v>
      </x:c>
      <x:c r="F4" s="82" t="str">
        <x:v>Publisher</x:v>
      </x:c>
      <x:c r="G4" s="82" t="str">
        <x:v>Volume</x:v>
      </x:c>
      <x:c r="H4" s="82" t="str">
        <x:v>Issue</x:v>
      </x:c>
      <x:c r="I4" s="82" t="str">
        <x:v>Pages</x:v>
      </x:c>
      <x:c r="J4" s="82" t="str">
        <x:v>DOI</x:v>
      </x:c>
      <x:c r="K4" s="82" t="str">
        <x:v>Article URL</x:v>
      </x:c>
      <x:c r="L4" s="82" t="str">
        <x:v>arXiv ID</x:v>
      </x:c>
      <x:c r="M4" s="82" t="str">
        <x:v>Abstract</x:v>
      </x:c>
      <x:c r="N4" s="82" t="str">
        <x:v>Database Notes</x:v>
      </x:c>
      <x:c r="O4" s="82" t="str">
        <x:v>Local PDF Path(s)</x:v>
      </x:c>
      <x:c r="P4" s="82" t="str">
        <x:v>Source File(s)</x:v>
      </x:c>
      <x:c r="Q4" s="82" t="str">
        <x:v>Database Record ID(s)</x:v>
      </x:c>
      <x:c r="R4" s="82" t="str">
        <x:v>BibTeX Key(s)</x:v>
      </x:c>
      <x:c r="S4" s="82" t="str">
        <x:v>Deduplication Basis</x:v>
      </x:c>
    </x:row>
    <x:row r="5" ht="78" customHeight="1">
      <x:c r="A5" s="82" t="str">
        <x:v>PN-001</x:v>
      </x:c>
      <x:c r="B5" s="84" t="str">
        <x:v>Overcoming Frequency Resolution Limits Using a Solid-State Spin Quantum Sensor</x:v>
      </x:c>
      <x:c r="C5" s="87" t="n">
        <x:v>2025</x:v>
      </x:c>
      <x:c r="D5" s="84" t="str">
        <x:v>dec</x:v>
      </x:c>
      <x:c r="E5" s="84" t="str">
        <x:v>Physical Review Letters</x:v>
      </x:c>
      <x:c r="F5" s="84" t="str">
        <x:v>American Physical Society (APS)</x:v>
      </x:c>
      <x:c r="G5" s="84" t="str">
        <x:v>135</x:v>
      </x:c>
      <x:c r="H5" s="84" t="str">
        <x:v>25</x:v>
      </x:c>
      <x:c r="I5" s="84" t="str"/>
      <x:c r="J5" s="88" t="str">
        <x:v>10.1103/llfg-s4rr</x:v>
      </x:c>
      <x:c r="K5" s="88" t="str">
        <x:v>http://dx.doi.org/10.1103/llfg-s4rr</x:v>
      </x:c>
      <x:c r="L5" s="88" t="str">
        <x:v>2506.20416</x:v>
      </x:c>
      <x:c r="M5" s="84" t="str">
        <x:v>Demonstrates superresolution quantum sensing that resolves two nearly identical incoherent signals with a solid-state spin quantum sensor by choosing interrogation times satisfying a superresolution condition, improving scaling from t^-1 to t^-2.</x:v>
      </x:c>
      <x:c r="N5" s="84" t="str">
        <x:v>Very relevant to the “break the apparent resolution limit” theme; not superconducting-specific, but conceptually close to spectroscopy beyond naive linewidth/coherence constraints.</x:v>
      </x:c>
      <x:c r="O5" s="84" t="str"/>
      <x:c r="P5" s="84" t="str">
        <x:v>/Users/asafsolonnikov/Developer/amplitude-robust-spectroscopy/paper/references.bib; /Users/asafsolonnikov/.research-assistant/research.db :: project=power-narrowing-spectroscopy</x:v>
      </x:c>
      <x:c r="Q5" s="84" t="str">
        <x:v>51</x:v>
      </x:c>
      <x:c r="R5" s="84" t="str">
        <x:v>Cao_2025</x:v>
      </x:c>
      <x:c r="S5" s="84" t="str">
        <x:v>normalized title, original source record</x:v>
      </x:c>
    </x:row>
    <x:row r="6" ht="78" customHeight="1">
      <x:c r="A6" s="82" t="str">
        <x:v>PN-002</x:v>
      </x:c>
      <x:c r="B6" s="84" t="str">
        <x:v>Enhanced coherence of all-nitride superconducting qubits epitaxially grown on silicon substrate</x:v>
      </x:c>
      <x:c r="C6" s="87" t="n">
        <x:v>2021</x:v>
      </x:c>
      <x:c r="D6" s="84" t="str"/>
      <x:c r="E6" s="84" t="str">
        <x:v>Communications Materials</x:v>
      </x:c>
      <x:c r="F6" s="84" t="str"/>
      <x:c r="G6" s="84" t="str">
        <x:v>2</x:v>
      </x:c>
      <x:c r="H6" s="84" t="str">
        <x:v>1</x:v>
      </x:c>
      <x:c r="I6" s="84" t="str">
        <x:v>98</x:v>
      </x:c>
      <x:c r="J6" s="88" t="str">
        <x:v>10.1038/s43246-021-00204-4</x:v>
      </x:c>
      <x:c r="K6" s="88" t="str">
        <x:v>https://doi.org/10.1038/s43246-021-00204-4</x:v>
      </x:c>
      <x:c r="L6" s="88" t="str"/>
      <x:c r="M6" s="84" t="str">
        <x:v>Improving the coherence of superconducting qubits is a fundamental step towards the realization of fault-tolerant quantum computation. However, coherence times of quantum circuits made from conventional aluminum-based Josephson junctions are limited by the presence of microscopic two-level systems in the amorphous aluminum oxide tunnel barriers. Here, we have developed superconducting qubits based on NbN/AlN/NbN epitaxial Josephson junctions on silicon substrates which promise to overcome the drawbacks of qubits based on Al/AlOx/Al junctions. The all-nitride qubits have great advantages such as chemical stability against oxidation, resulting in fewer two-level fluctuators, feasibility for epitaxial tunnel barriers that reduce energy relaxation and dephasing, and a larger superconducting gap of \~5.2 meV for NbN, compared to \~0.3 meV for aluminum, which suppresses the excitation of quasiparticles. By replacing conventional MgO by a silicon substrate with a TiN buffer layer for epitaxial growth of nitride junctions, we demonstrate a qubit energy relaxation time \$\$\T\_\1\=16.3$ackslash$;\\$ackslash$upmu \\\\\\\$ackslash$rm\s\\\\\\\$\$and a spin-echo dephasing time \$\$\T\_\2\=21.5$ackslash$;\\$ackslash$upmu \\\\\\\$ackslash$rm\s\\\\\\\$\$. These significant improvements in quantum coherence are explained by the reduced dielectric loss compared to the previously reported \$\$\T\_\1\$ackslash$approx \T\_\2\$ackslash$approx 0.5$ackslash$;\\$ackslash$upmu \\\\\\\$ackslash$rm\s\\\\\\\$\$of NbN-based qubits on MgO substrates. These results are an important step towards constructing a new platform for superconducting quantum hardware.</x:v>
      </x:c>
      <x:c r="N6" s="84" t="str"/>
      <x:c r="O6" s="84" t="str"/>
      <x:c r="P6" s="84" t="str">
        <x:v>/Users/asafsolonnikov/Developer/amplitude-robust-spectroscopy/paper/references.bib</x:v>
      </x:c>
      <x:c r="Q6" s="84" t="str"/>
      <x:c r="R6" s="84" t="str">
        <x:v>spec123</x:v>
      </x:c>
      <x:c r="S6" s="84" t="str">
        <x:v>original source record</x:v>
      </x:c>
    </x:row>
    <x:row r="7" ht="78" customHeight="1">
      <x:c r="A7" s="82" t="str">
        <x:v>PN-003</x:v>
      </x:c>
      <x:c r="B7" s="84" t="str">
        <x:v>Coherent control of a hybrid superconducting circuit made with graphene-based van der Waals heterostructures</x:v>
      </x:c>
      <x:c r="C7" s="87" t="n">
        <x:v>2019</x:v>
      </x:c>
      <x:c r="D7" s="84" t="str">
        <x:v>feb</x:v>
      </x:c>
      <x:c r="E7" s="84" t="str">
        <x:v>Nature Nanotechnology</x:v>
      </x:c>
      <x:c r="F7" s="84" t="str"/>
      <x:c r="G7" s="84" t="str">
        <x:v>14</x:v>
      </x:c>
      <x:c r="H7" s="84" t="str">
        <x:v>2</x:v>
      </x:c>
      <x:c r="I7" s="84" t="str">
        <x:v>120–125</x:v>
      </x:c>
      <x:c r="J7" s="88" t="str">
        <x:v>10.1038/s41565-018-0329-2</x:v>
      </x:c>
      <x:c r="K7" s="88" t="str">
        <x:v>https://doi.org/10.1038/s41565-018-0329-2</x:v>
      </x:c>
      <x:c r="L7" s="88" t="str"/>
      <x:c r="M7" s="84" t="str">
        <x:v>Quantum coherence and control is foundational to the science and engineering of quantum systems1,2. In van der Waals materials, the collective coherent behaviour of carriers has been probed successfully by transport measurements3–6. However, temporal coherence and control, as exemplified by manipulating a single quantum degree of freedom, remains to be verified. Here we demonstrate such coherence and control of a superconducting circuit incorporating graphene-based Josephson junctions. Furthermore, we show that this device can be operated as a voltage-tunable transmon qubit7–9, whose spectrum reflects the electronic properties of massless Dirac fermions travelling ballistically4,5. In addition to the potential for advancing extensible quantum computing technology, our results represent a new approach to studying van der Waals materials using microwave photons in coherent quantum circuits.</x:v>
      </x:c>
      <x:c r="N7" s="84" t="str"/>
      <x:c r="O7" s="84" t="str"/>
      <x:c r="P7" s="84" t="str">
        <x:v>/Users/asafsolonnikov/Developer/amplitude-robust-spectroscopy/paper/references.bib</x:v>
      </x:c>
      <x:c r="Q7" s="84" t="str"/>
      <x:c r="R7" s="84" t="str">
        <x:v>wang_coherent_2019</x:v>
      </x:c>
      <x:c r="S7" s="84" t="str">
        <x:v>original source record</x:v>
      </x:c>
    </x:row>
    <x:row r="8" ht="78" customHeight="1">
      <x:c r="A8" s="82" t="str">
        <x:v>PN-004</x:v>
      </x:c>
      <x:c r="B8" s="84" t="str">
        <x:v>High-Coherence Fluxonium Qubit</x:v>
      </x:c>
      <x:c r="C8" s="87" t="n">
        <x:v>2019</x:v>
      </x:c>
      <x:c r="D8" s="84" t="str">
        <x:v>Nov</x:v>
      </x:c>
      <x:c r="E8" s="84" t="str">
        <x:v>Phys. Rev. X</x:v>
      </x:c>
      <x:c r="F8" s="84" t="str">
        <x:v>American Physical Society</x:v>
      </x:c>
      <x:c r="G8" s="84" t="str">
        <x:v>9</x:v>
      </x:c>
      <x:c r="H8" s="84" t="str">
        <x:v>4</x:v>
      </x:c>
      <x:c r="I8" s="84" t="str">
        <x:v>041041</x:v>
      </x:c>
      <x:c r="J8" s="88" t="str">
        <x:v>10.1103/PhysRevX.9.041041</x:v>
      </x:c>
      <x:c r="K8" s="88" t="str">
        <x:v>https://link.aps.org/doi/10.1103/PhysRevX.9.041041</x:v>
      </x:c>
      <x:c r="L8" s="88" t="str"/>
      <x:c r="M8" s="84" t="str"/>
      <x:c r="N8" s="84" t="str"/>
      <x:c r="O8" s="84" t="str"/>
      <x:c r="P8" s="84" t="str">
        <x:v>/Users/asafsolonnikov/Developer/amplitude-robust-spectroscopy/paper/references.bib</x:v>
      </x:c>
      <x:c r="Q8" s="84" t="str"/>
      <x:c r="R8" s="84" t="str">
        <x:v>PhysRevX.9.041041</x:v>
      </x:c>
      <x:c r="S8" s="84" t="str">
        <x:v>original source record</x:v>
      </x:c>
    </x:row>
    <x:row r="9" ht="78" customHeight="1">
      <x:c r="A9" s="82" t="str">
        <x:v>PN-005</x:v>
      </x:c>
      <x:c r="B9" s="84" t="str">
        <x:v>Limits on Spectral Resolution Measurements by Quantum Probes</x:v>
      </x:c>
      <x:c r="C9" s="87" t="n">
        <x:v>2019</x:v>
      </x:c>
      <x:c r="D9" s="84" t="str">
        <x:v>Feb</x:v>
      </x:c>
      <x:c r="E9" s="84" t="str">
        <x:v>Phys. Rev. Lett.</x:v>
      </x:c>
      <x:c r="F9" s="84" t="str">
        <x:v>American Physical Society</x:v>
      </x:c>
      <x:c r="G9" s="84" t="str">
        <x:v>122</x:v>
      </x:c>
      <x:c r="H9" s="84" t="str">
        <x:v>6</x:v>
      </x:c>
      <x:c r="I9" s="84" t="str">
        <x:v>060503</x:v>
      </x:c>
      <x:c r="J9" s="88" t="str">
        <x:v>10.1103/PhysRevLett.122.060503</x:v>
      </x:c>
      <x:c r="K9" s="88" t="str">
        <x:v>https://link.aps.org/doi/10.1103/PhysRevLett.122.060503</x:v>
      </x:c>
      <x:c r="L9" s="88" t="str">
        <x:v>1707.01902</x:v>
      </x:c>
      <x:c r="M9" s="84" t="str">
        <x:v>Analyzes frequency-resolution limits in nano-NMR and shows theoretically and experimentally that resolving nearby frequencies and estimating a single frequency are both governed by the Cramer-Rao bound, refining the usual intuition about fixed signal-timescale limits.</x:v>
      </x:c>
      <x:c r="N9" s="84" t="str">
        <x:v>Important for literature review framing: challenges simple claims that two-frequency resolution is absolutely fixed by a single decay/coherence timescale.</x:v>
      </x:c>
      <x:c r="O9" s="84" t="str"/>
      <x:c r="P9" s="84" t="str">
        <x:v>/Users/asafsolonnikov/Developer/amplitude-robust-spectroscopy/paper/references.bib; /Users/asafsolonnikov/.research-assistant/research.db :: project=power-narrowing-spectroscopy</x:v>
      </x:c>
      <x:c r="Q9" s="84" t="str">
        <x:v>48</x:v>
      </x:c>
      <x:c r="R9" s="84" t="str">
        <x:v>PhysRevLett.122.060503</x:v>
      </x:c>
      <x:c r="S9" s="84" t="str">
        <x:v>normalized title, original source record</x:v>
      </x:c>
    </x:row>
    <x:row r="10" ht="78" customHeight="1">
      <x:c r="A10" s="82" t="str">
        <x:v>PN-006</x:v>
      </x:c>
      <x:c r="B10" s="84" t="str">
        <x:v>Overcoming resolution limits with quantum sensing</x:v>
      </x:c>
      <x:c r="C10" s="87" t="n">
        <x:v>2019</x:v>
      </x:c>
      <x:c r="D10" s="84" t="str"/>
      <x:c r="E10" s="84" t="str">
        <x:v>Nature Communications</x:v>
      </x:c>
      <x:c r="F10" s="84" t="str"/>
      <x:c r="G10" s="84" t="str">
        <x:v>10</x:v>
      </x:c>
      <x:c r="H10" s="84" t="str">
        <x:v>1</x:v>
      </x:c>
      <x:c r="I10" s="84" t="str">
        <x:v>4992</x:v>
      </x:c>
      <x:c r="J10" s="88" t="str">
        <x:v>10.1038/s41467-019-12817-y</x:v>
      </x:c>
      <x:c r="K10" s="88" t="str">
        <x:v>https://doi.org/10.1038/s41467-019-12817-y</x:v>
      </x:c>
      <x:c r="L10" s="88" t="str"/>
      <x:c r="M10" s="84" t="str">
        <x:v>The field of quantum sensing explores the use of quantum phenomena to measure a broad range of physical quantities, of both static and time-dependent types. While for static signals the main figure of merit is sensitivity, for time dependent signals it is spectral resolution, i.e. the ability to resolve two different frequencies. Here we study this problem, and develop new superresolution methods that rely on quantum features. We first formulate a general criterion for superresolution in quantum problems. Inspired by this, we show that quantum detectors can resolve two frequencies from incoherent segments of the signal, irrespective of their separation, in contrast to what is known about classical detection schemes. The main idea behind these methods is to overcome the vanishing distinguishability in resolution problems by nullifying the projection noise.</x:v>
      </x:c>
      <x:c r="N10" s="84" t="str"/>
      <x:c r="O10" s="84" t="str"/>
      <x:c r="P10" s="84" t="str">
        <x:v>/Users/asafsolonnikov/Developer/amplitude-robust-spectroscopy/paper/references.bib</x:v>
      </x:c>
      <x:c r="Q10" s="84" t="str"/>
      <x:c r="R10" s="84" t="str">
        <x:v>retzker_2</x:v>
      </x:c>
      <x:c r="S10" s="84" t="str">
        <x:v>original source record</x:v>
      </x:c>
    </x:row>
    <x:row r="11" ht="78" customHeight="1">
      <x:c r="A11" s="82" t="str">
        <x:v>PN-007</x:v>
      </x:c>
      <x:c r="B11" s="84" t="str">
        <x:v>Power narrowing: counteracting Doppler broadening in two-color transitions</x:v>
      </x:c>
      <x:c r="C11" s="87" t="n">
        <x:v>2019</x:v>
      </x:c>
      <x:c r="D11" s="84" t="str">
        <x:v>oct</x:v>
      </x:c>
      <x:c r="E11" s="84" t="str">
        <x:v>New Journal of Physics</x:v>
      </x:c>
      <x:c r="F11" s="84" t="str"/>
      <x:c r="G11" s="84" t="str">
        <x:v>21</x:v>
      </x:c>
      <x:c r="H11" s="84" t="str">
        <x:v>10</x:v>
      </x:c>
      <x:c r="I11" s="84" t="str">
        <x:v>103024</x:v>
      </x:c>
      <x:c r="J11" s="88" t="str">
        <x:v>10.1088/1367-2630/ab4624</x:v>
      </x:c>
      <x:c r="K11" s="88" t="str">
        <x:v>https://doi.org/10.1088/1367-2630/ab4624</x:v>
      </x:c>
      <x:c r="L11" s="88" t="str"/>
      <x:c r="M11" s="84" t="str">
        <x:v>Doppler broadening in thermal ensembles degrades the absorption cross-section and the coherence time of collective excitations. In two photon transitions, it is common to assume that this problem becomes worse with larger wavelength mismatch. Here we identify an opposite mechanism, where such wavelength mismatch leads to cancellation of Doppler broadening via the counteracting effects of velocity-dependent light-shifts and Doppler shifts. We show that this effect is general, common to both absorption and transparency resonances, and favorably scales with wavelength mismatch. We experimentally confirm the enhancement of transitions for different low-lying orbitals in rubidium atoms and use calculations to extrapolate to high-lying Rydberg orbitals. These calculations predict a dramatic enhancement of up to 20-fold increase in absorption, even in the presence of large homogeneous broadening. More general configurations, where an auxiliary dressing field is used to counteract Doppler broadening, are also discussed and experimentally demonstrated. The mechanism we study can be applied as well for rephasing of spin waves and increasing the coherence time of quantum memories.</x:v>
      </x:c>
      <x:c r="N11" s="84" t="str">
        <x:v>Important for literature review terminology: same phrase, different mechanism from Lorentzian-pulse power narrowing. Useful to avoid conflating meanings.</x:v>
      </x:c>
      <x:c r="O11" s="84" t="str"/>
      <x:c r="P11" s="84" t="str">
        <x:v>/Users/asafsolonnikov/Developer/amplitude-robust-spectroscopy/paper/references.bib; /Users/asafsolonnikov/.research-assistant/research.db :: project=power-narrowing-spectroscopy</x:v>
      </x:c>
      <x:c r="Q11" s="84" t="str">
        <x:v>36</x:v>
      </x:c>
      <x:c r="R11" s="84" t="str">
        <x:v>finkelstein_power_2019</x:v>
      </x:c>
      <x:c r="S11" s="84" t="str">
        <x:v>DOI, original source record</x:v>
      </x:c>
    </x:row>
    <x:row r="12" ht="78" customHeight="1">
      <x:c r="A12" s="82" t="str">
        <x:v>PN-008</x:v>
      </x:c>
      <x:c r="B12" s="84" t="str">
        <x:v>ac Stark shifts of dark resonances probed with Ramsey spectroscopy</x:v>
      </x:c>
      <x:c r="C12" s="87" t="n">
        <x:v>2018</x:v>
      </x:c>
      <x:c r="D12" s="84" t="str">
        <x:v>Nov</x:v>
      </x:c>
      <x:c r="E12" s="84" t="str">
        <x:v>Phys. Rev. A</x:v>
      </x:c>
      <x:c r="F12" s="84" t="str">
        <x:v>American Physical Society</x:v>
      </x:c>
      <x:c r="G12" s="84" t="str">
        <x:v>98</x:v>
      </x:c>
      <x:c r="H12" s="84" t="str">
        <x:v>5</x:v>
      </x:c>
      <x:c r="I12" s="84" t="str">
        <x:v>053424</x:v>
      </x:c>
      <x:c r="J12" s="88" t="str">
        <x:v>10.1103/PhysRevA.98.053424</x:v>
      </x:c>
      <x:c r="K12" s="88" t="str">
        <x:v>https://link.aps.org/doi/10.1103/PhysRevA.98.053424</x:v>
      </x:c>
      <x:c r="L12" s="88" t="str"/>
      <x:c r="M12" s="84" t="str"/>
      <x:c r="N12" s="84" t="str"/>
      <x:c r="O12" s="84" t="str"/>
      <x:c r="P12" s="84" t="str">
        <x:v>/Users/asafsolonnikov/Developer/amplitude-robust-spectroscopy/paper/references.bib</x:v>
      </x:c>
      <x:c r="Q12" s="84" t="str"/>
      <x:c r="R12" s="84" t="str">
        <x:v>PhysRevA.98.053424</x:v>
      </x:c>
      <x:c r="S12" s="84" t="str">
        <x:v>original source record</x:v>
      </x:c>
    </x:row>
    <x:row r="13" ht="78" customHeight="1">
      <x:c r="A13" s="82" t="str">
        <x:v>PN-009</x:v>
      </x:c>
      <x:c r="B13" s="84" t="str">
        <x:v>Demonstration of qubit operations below a rigorous fault tolerance threshold with gate set tomography</x:v>
      </x:c>
      <x:c r="C13" s="87" t="n">
        <x:v>2017</x:v>
      </x:c>
      <x:c r="D13" s="84" t="str"/>
      <x:c r="E13" s="84" t="str">
        <x:v>Nature Communications</x:v>
      </x:c>
      <x:c r="F13" s="84" t="str"/>
      <x:c r="G13" s="84" t="str">
        <x:v>8</x:v>
      </x:c>
      <x:c r="H13" s="84" t="str">
        <x:v>1</x:v>
      </x:c>
      <x:c r="I13" s="84" t="str">
        <x:v>14485</x:v>
      </x:c>
      <x:c r="J13" s="88" t="str">
        <x:v>10.1038/ncomms14485</x:v>
      </x:c>
      <x:c r="K13" s="88" t="str">
        <x:v>https://doi.org/10.1038/ncomms14485</x:v>
      </x:c>
      <x:c r="L13" s="88" t="str"/>
      <x:c r="M13" s="84" t="str">
        <x:v>Quantum information processors promise fast algorithms for problems inaccessible to classical computers. But since qubits are noisy and error-prone, they will depend on fault-tolerant quantum error correction (FTQEC) to compute reliably. Quantum error correction can protect against general noise if—and only if—the error in each physical qubit operation is smaller than a certain threshold. The threshold for general errors is quantified by their diamond norm. Until now, qubits have been assessed primarily by randomized benchmarking, which reports a different error rate that is not sensitive to all errors, and cannot be compared directly to diamond norm thresholds. Here we use gate set tomography to completely characterize operations on a trapped-Yb+-ion qubit and demonstrate with greater than 95\% confidence that they satisfy a rigorous threshold for FTQEC (diamond norm ≤6.7 ×10−4).</x:v>
      </x:c>
      <x:c r="N13" s="84" t="str"/>
      <x:c r="O13" s="84" t="str"/>
      <x:c r="P13" s="84" t="str">
        <x:v>/Users/asafsolonnikov/Developer/amplitude-robust-spectroscopy/paper/references.bib</x:v>
      </x:c>
      <x:c r="Q13" s="84" t="str"/>
      <x:c r="R13" s="84" t="str">
        <x:v>diamond</x:v>
      </x:c>
      <x:c r="S13" s="84" t="str">
        <x:v>original source record</x:v>
      </x:c>
    </x:row>
    <x:row r="14" ht="78" customHeight="1">
      <x:c r="A14" s="82" t="str">
        <x:v>PN-010</x:v>
      </x:c>
      <x:c r="B14" s="84" t="str">
        <x:v>Power narrowing in coherent atomic excitation by smoothly shaped pulsed fields</x:v>
      </x:c>
      <x:c r="C14" s="87" t="n">
        <x:v>2013</x:v>
      </x:c>
      <x:c r="D14" s="84" t="str">
        <x:v>feb</x:v>
      </x:c>
      <x:c r="E14" s="84" t="str">
        <x:v>Optics Communications</x:v>
      </x:c>
      <x:c r="F14" s="84" t="str"/>
      <x:c r="G14" s="84" t="str">
        <x:v>288</x:v>
      </x:c>
      <x:c r="H14" s="84" t="str"/>
      <x:c r="I14" s="84" t="str">
        <x:v>91–96</x:v>
      </x:c>
      <x:c r="J14" s="88" t="str">
        <x:v>10.1016/j.optcom.2012.09.040</x:v>
      </x:c>
      <x:c r="K14" s="88" t="str">
        <x:v>https://www.sciencedirect.com/science/article/pii/S0030401812010486</x:v>
      </x:c>
      <x:c r="L14" s="88" t="str"/>
      <x:c r="M14" s="84" t="str">
        <x:v>When atoms are excited by laser radiation the conventional wisdom dictates that the spectral excitation profile – the excited-state population vs the detuning – broadens as the radiation intensity increases. This common expectation has been shown to be incorrect in the fluorescence signal following two-photon excitation of xenon atoms by a Gaussian laser pulse, which showed almost no power broadening [T. Halfmann, T. Rickes, N.V. Vitanov, K. Bergmann, Optics Communications, 220 (2003) 353] Here we go a step further and show that for a class of pulse shapes, the falling edges of which vanish as inverse powers of time, ∝t−n (with n&gt;1), the spectral excitation profile must exhibit power narrowing, i.e. the spectral linewidth scales as Ω0−1/(n−1), where Ω0 is the Rabi frequency of the transition. We provide a simple physical explanation based upon the notions of adiabatic evolution and coherent population return and discuss important experimental applications.</x:v>
      </x:c>
      <x:c r="N14" s="84" t="str">
        <x:v>Important cited reference: likely the key theoretical ancestor of the PRL power-narrowing result. Read before/with paper 25.</x:v>
      </x:c>
      <x:c r="O14" s="84" t="str">
        <x:v>/Users/asafsolonnikov/Zotero/storage/9BLUSY4S/Boradjiev and Vitanov - 2013 - Power narrowing in coherent atomic excitation by smoothly shaped pulsed fields.pdf</x:v>
      </x:c>
      <x:c r="P14" s="84" t="str">
        <x:v>/Users/asafsolonnikov/Developer/amplitude-robust-spectroscopy/paper/references.bib; /Users/asafsolonnikov/.research-assistant/research.db :: project=power-narrowing-spectroscopy</x:v>
      </x:c>
      <x:c r="Q14" s="84" t="str">
        <x:v>31</x:v>
      </x:c>
      <x:c r="R14" s="84" t="str">
        <x:v>boradjiev_power_2013</x:v>
      </x:c>
      <x:c r="S14" s="84" t="str">
        <x:v>DOI, original source record</x:v>
      </x:c>
    </x:row>
    <x:row r="15" ht="78" customHeight="1">
      <x:c r="A15" s="82" t="str">
        <x:v>PN-011</x:v>
      </x:c>
      <x:c r="B15" s="84" t="str">
        <x:v>Observation of High Coherence in Josephson Junction Qubits Measured in a Three-Dimensional Circuit QED Architecture</x:v>
      </x:c>
      <x:c r="C15" s="87" t="n">
        <x:v>2011</x:v>
      </x:c>
      <x:c r="D15" s="84" t="str">
        <x:v>Dec</x:v>
      </x:c>
      <x:c r="E15" s="84" t="str">
        <x:v>Phys. Rev. Lett.</x:v>
      </x:c>
      <x:c r="F15" s="84" t="str">
        <x:v>American Physical Society</x:v>
      </x:c>
      <x:c r="G15" s="84" t="str">
        <x:v>107</x:v>
      </x:c>
      <x:c r="H15" s="84" t="str">
        <x:v>24</x:v>
      </x:c>
      <x:c r="I15" s="84" t="str">
        <x:v>240501</x:v>
      </x:c>
      <x:c r="J15" s="88" t="str">
        <x:v>10.1103/PhysRevLett.107.240501</x:v>
      </x:c>
      <x:c r="K15" s="88" t="str">
        <x:v>https://link.aps.org/doi/10.1103/PhysRevLett.107.240501</x:v>
      </x:c>
      <x:c r="L15" s="88" t="str"/>
      <x:c r="M15" s="84" t="str"/>
      <x:c r="N15" s="84" t="str"/>
      <x:c r="O15" s="84" t="str"/>
      <x:c r="P15" s="84" t="str">
        <x:v>/Users/asafsolonnikov/Developer/amplitude-robust-spectroscopy/paper/references.bib</x:v>
      </x:c>
      <x:c r="Q15" s="84" t="str"/>
      <x:c r="R15" s="84" t="str">
        <x:v>PhysRevLett.107.240501</x:v>
      </x:c>
      <x:c r="S15" s="84" t="str">
        <x:v>original source record</x:v>
      </x:c>
    </x:row>
    <x:row r="16" ht="78" customHeight="1">
      <x:c r="A16" s="82" t="str">
        <x:v>PN-012</x:v>
      </x:c>
      <x:c r="B16" s="84" t="str">
        <x:v>Long-Lived Coherences for Homogeneous Line Narrowing in Spectroscopy</x:v>
      </x:c>
      <x:c r="C16" s="87" t="n">
        <x:v>2010</x:v>
      </x:c>
      <x:c r="D16" s="84" t="str">
        <x:v>Feb</x:v>
      </x:c>
      <x:c r="E16" s="84" t="str">
        <x:v>Phys. Rev. Lett.</x:v>
      </x:c>
      <x:c r="F16" s="84" t="str">
        <x:v>American Physical Society</x:v>
      </x:c>
      <x:c r="G16" s="84" t="str">
        <x:v>104</x:v>
      </x:c>
      <x:c r="H16" s="84" t="str">
        <x:v>5</x:v>
      </x:c>
      <x:c r="I16" s="84" t="str">
        <x:v>053001</x:v>
      </x:c>
      <x:c r="J16" s="88" t="str">
        <x:v>10.1103/PhysRevLett.104.053001</x:v>
      </x:c>
      <x:c r="K16" s="88" t="str">
        <x:v>https://link.aps.org/doi/10.1103/PhysRevLett.104.053001</x:v>
      </x:c>
      <x:c r="L16" s="88" t="str"/>
      <x:c r="M16" s="84" t="str"/>
      <x:c r="N16" s="84" t="str"/>
      <x:c r="O16" s="84" t="str"/>
      <x:c r="P16" s="84" t="str">
        <x:v>/Users/asafsolonnikov/Developer/amplitude-robust-spectroscopy/paper/references.bib</x:v>
      </x:c>
      <x:c r="Q16" s="84" t="str"/>
      <x:c r="R16" s="84" t="str">
        <x:v>PhysRevLett.104.053001</x:v>
      </x:c>
      <x:c r="S16" s="84" t="str">
        <x:v>original source record</x:v>
      </x:c>
    </x:row>
    <x:row r="17" ht="78" customHeight="1">
      <x:c r="A17" s="82" t="str">
        <x:v>PN-013</x:v>
      </x:c>
      <x:c r="B17" s="84" t="str">
        <x:v>Charge-insensitive qubit design derived from the Cooper pair box</x:v>
      </x:c>
      <x:c r="C17" s="87" t="n">
        <x:v>2007</x:v>
      </x:c>
      <x:c r="D17" s="84" t="str">
        <x:v>Oct</x:v>
      </x:c>
      <x:c r="E17" s="84" t="str">
        <x:v>Phys. Rev. A</x:v>
      </x:c>
      <x:c r="F17" s="84" t="str">
        <x:v>American Physical Society</x:v>
      </x:c>
      <x:c r="G17" s="84" t="str">
        <x:v>76</x:v>
      </x:c>
      <x:c r="H17" s="84" t="str">
        <x:v>4</x:v>
      </x:c>
      <x:c r="I17" s="84" t="str">
        <x:v>042319</x:v>
      </x:c>
      <x:c r="J17" s="88" t="str">
        <x:v>10.1103/PhysRevA.76.042319</x:v>
      </x:c>
      <x:c r="K17" s="88" t="str">
        <x:v>https://link.aps.org/doi/10.1103/PhysRevA.76.042319</x:v>
      </x:c>
      <x:c r="L17" s="88" t="str"/>
      <x:c r="M17" s="84" t="str"/>
      <x:c r="N17" s="84" t="str"/>
      <x:c r="O17" s="84" t="str"/>
      <x:c r="P17" s="84" t="str">
        <x:v>/Users/asafsolonnikov/Developer/amplitude-robust-spectroscopy/paper/references.bib</x:v>
      </x:c>
      <x:c r="Q17" s="84" t="str"/>
      <x:c r="R17" s="84" t="str">
        <x:v>PhysRevA.76.042319</x:v>
      </x:c>
      <x:c r="S17" s="84" t="str">
        <x:v>original source record</x:v>
      </x:c>
    </x:row>
    <x:row r="18" ht="78" customHeight="1">
      <x:c r="A18" s="82" t="str">
        <x:v>PN-014</x:v>
      </x:c>
      <x:c r="B18" s="84" t="str">
        <x:v>Dynamics of Loschmidt echoes and fidelity decay</x:v>
      </x:c>
      <x:c r="C18" s="87" t="n">
        <x:v>2006</x:v>
      </x:c>
      <x:c r="D18" s="84" t="str">
        <x:v>nov</x:v>
      </x:c>
      <x:c r="E18" s="84" t="str">
        <x:v>Physics Reports</x:v>
      </x:c>
      <x:c r="F18" s="84" t="str">
        <x:v>Elsevier BV</x:v>
      </x:c>
      <x:c r="G18" s="84" t="str">
        <x:v>435</x:v>
      </x:c>
      <x:c r="H18" s="84" t="str">
        <x:v>2–5</x:v>
      </x:c>
      <x:c r="I18" s="84" t="str">
        <x:v>33–156</x:v>
      </x:c>
      <x:c r="J18" s="88" t="str">
        <x:v>10.1016/j.physrep.2006.09.003</x:v>
      </x:c>
      <x:c r="K18" s="88" t="str">
        <x:v>http://dx.doi.org/10.1016/j.physrep.2006.09.003</x:v>
      </x:c>
      <x:c r="L18" s="88" t="str"/>
      <x:c r="M18" s="84" t="str"/>
      <x:c r="N18" s="84" t="str"/>
      <x:c r="O18" s="84" t="str"/>
      <x:c r="P18" s="84" t="str">
        <x:v>/Users/asafsolonnikov/Developer/amplitude-robust-spectroscopy/paper/references.bib</x:v>
      </x:c>
      <x:c r="Q18" s="84" t="str"/>
      <x:c r="R18" s="84" t="str">
        <x:v>Gorin_2006</x:v>
      </x:c>
      <x:c r="S18" s="84" t="str">
        <x:v>original source record</x:v>
      </x:c>
    </x:row>
    <x:row r="19" ht="78" customHeight="1">
      <x:c r="A19" s="82" t="str">
        <x:v>PN-015</x:v>
      </x:c>
      <x:c r="B19" s="84" t="str">
        <x:v>Cavity quantum electrodynamics for superconducting electrical circuits: An architecture for quantum computation</x:v>
      </x:c>
      <x:c r="C19" s="87" t="n">
        <x:v>2004</x:v>
      </x:c>
      <x:c r="D19" s="84" t="str">
        <x:v>Jun</x:v>
      </x:c>
      <x:c r="E19" s="84" t="str">
        <x:v>Phys. Rev. A</x:v>
      </x:c>
      <x:c r="F19" s="84" t="str">
        <x:v>American Physical Society</x:v>
      </x:c>
      <x:c r="G19" s="84" t="str">
        <x:v>69</x:v>
      </x:c>
      <x:c r="H19" s="84" t="str">
        <x:v>6</x:v>
      </x:c>
      <x:c r="I19" s="84" t="str">
        <x:v>062320</x:v>
      </x:c>
      <x:c r="J19" s="88" t="str">
        <x:v>10.1103/PhysRevA.69.062320</x:v>
      </x:c>
      <x:c r="K19" s="88" t="str">
        <x:v>https://link.aps.org/doi/10.1103/PhysRevA.69.062320</x:v>
      </x:c>
      <x:c r="L19" s="88" t="str"/>
      <x:c r="M19" s="84" t="str"/>
      <x:c r="N19" s="84" t="str"/>
      <x:c r="O19" s="84" t="str"/>
      <x:c r="P19" s="84" t="str">
        <x:v>/Users/asafsolonnikov/Developer/amplitude-robust-spectroscopy/paper/references.bib</x:v>
      </x:c>
      <x:c r="Q19" s="84" t="str"/>
      <x:c r="R19" s="84" t="str">
        <x:v>PhysRevA.69.062320</x:v>
      </x:c>
      <x:c r="S19" s="84" t="str">
        <x:v>original source record</x:v>
      </x:c>
    </x:row>
    <x:row r="20" ht="78" customHeight="1">
      <x:c r="A20" s="82" t="str">
        <x:v>PN-016</x:v>
      </x:c>
      <x:c r="B20" s="84" t="str">
        <x:v>Coherent excitation of a two-state system by a Gaussian field</x:v>
      </x:c>
      <x:c r="C20" s="87" t="n">
        <x:v>2004</x:v>
      </x:c>
      <x:c r="D20" s="84" t="str">
        <x:v>Nov</x:v>
      </x:c>
      <x:c r="E20" s="84" t="str">
        <x:v>Physical Review A</x:v>
      </x:c>
      <x:c r="F20" s="84" t="str">
        <x:v>American Physical Society</x:v>
      </x:c>
      <x:c r="G20" s="84" t="str">
        <x:v>70</x:v>
      </x:c>
      <x:c r="H20" s="84" t="str">
        <x:v>5</x:v>
      </x:c>
      <x:c r="I20" s="84" t="str">
        <x:v>053407</x:v>
      </x:c>
      <x:c r="J20" s="88" t="str">
        <x:v>10.1103/PhysRevA.70.053407</x:v>
      </x:c>
      <x:c r="K20" s="88" t="str">
        <x:v>https://link.aps.org/doi/10.1103/PhysRevA.70.053407</x:v>
      </x:c>
      <x:c r="L20" s="88" t="str"/>
      <x:c r="M20" s="84" t="str">
        <x:v>Studies coherent excitation of a two-state system by a Gaussian pulse, providing analytic and physical background for how smooth pulse envelopes shape excitation profiles and power broadening.</x:v>
      </x:c>
      <x:c r="N20" s="84" t="str">
        <x:v>Useful contrast case for Lorentzian/root-Lorentzian pulses: Gaussian smooth pulses reduce broadening relative to rectangular pulses but do not give the same power-narrowing behavior.</x:v>
      </x:c>
      <x:c r="O20" s="84" t="str"/>
      <x:c r="P20" s="84" t="str">
        <x:v>/Users/asafsolonnikov/Developer/amplitude-robust-spectroscopy/paper/references.bib; /Users/asafsolonnikov/.research-assistant/research.db :: project=power-narrowing-spectroscopy</x:v>
      </x:c>
      <x:c r="Q20" s="84" t="str">
        <x:v>33</x:v>
      </x:c>
      <x:c r="R20" s="84" t="str">
        <x:v>PhysRevA.70.053407</x:v>
      </x:c>
      <x:c r="S20" s="84" t="str">
        <x:v>DOI, original source record</x:v>
      </x:c>
    </x:row>
    <x:row r="21" ht="78" customHeight="1">
      <x:c r="A21" s="82" t="str">
        <x:v>PN-017</x:v>
      </x:c>
      <x:c r="B21" s="84" t="str">
        <x:v>Lineshapes in coherent two-photon excitation</x:v>
      </x:c>
      <x:c r="C21" s="87" t="n">
        <x:v>2003</x:v>
      </x:c>
      <x:c r="D21" s="84" t="str"/>
      <x:c r="E21" s="84" t="str">
        <x:v>Optics Communications</x:v>
      </x:c>
      <x:c r="F21" s="84" t="str"/>
      <x:c r="G21" s="84" t="str">
        <x:v>220</x:v>
      </x:c>
      <x:c r="H21" s="84" t="str">
        <x:v>4</x:v>
      </x:c>
      <x:c r="I21" s="84" t="str">
        <x:v>353-359</x:v>
      </x:c>
      <x:c r="J21" s="88" t="str">
        <x:v>10.1016/S0030-4018(03)01368-3</x:v>
      </x:c>
      <x:c r="K21" s="88" t="str">
        <x:v>https://www.sciencedirect.com/science/article/pii/S0030401803013683</x:v>
      </x:c>
      <x:c r="L21" s="88" t="str"/>
      <x:c r="M21" s="84" t="str">
        <x:v>We compare lineshapes obtained in laser-induced fluorescence and resonantly enhanced multi-photon ionisation, resulting from coherent pulsed excitation of a two-photon transition in xenon atoms. We find that excitation profiles probed by ionisation show power broadening as expected. Here ionisation occurs simultaneously with the coherent excitation. The profiles observed by fluorescence show almost no broadening, because of coherent population return, since the fluorescence occurs predominantly after the excitation pulse is over. Thus the observed lineshape depends characteristically upon the nature of the probing process.</x:v>
      </x:c>
      <x:c r="N21" s="84" t="str"/>
      <x:c r="O21" s="84" t="str"/>
      <x:c r="P21" s="84" t="str">
        <x:v>/Users/asafsolonnikov/Developer/amplitude-robust-spectroscopy/paper/references.bib</x:v>
      </x:c>
      <x:c r="Q21" s="84" t="str"/>
      <x:c r="R21" s="84" t="str">
        <x:v>HALFMANN2003353</x:v>
      </x:c>
      <x:c r="S21" s="84" t="str">
        <x:v>original source record</x:v>
      </x:c>
    </x:row>
    <x:row r="22" ht="78" customHeight="1">
      <x:c r="A22" s="82" t="str">
        <x:v>PN-018</x:v>
      </x:c>
      <x:c r="B22" s="84" t="str">
        <x:v>Power broadening revisited: theory and experiment</x:v>
      </x:c>
      <x:c r="C22" s="87" t="n">
        <x:v>2001</x:v>
      </x:c>
      <x:c r="D22" s="84" t="str"/>
      <x:c r="E22" s="84" t="str">
        <x:v>Optics Communications</x:v>
      </x:c>
      <x:c r="F22" s="84" t="str"/>
      <x:c r="G22" s="84" t="str">
        <x:v>199</x:v>
      </x:c>
      <x:c r="H22" s="84" t="str">
        <x:v>1</x:v>
      </x:c>
      <x:c r="I22" s="84" t="str">
        <x:v>117-126</x:v>
      </x:c>
      <x:c r="J22" s="88" t="str">
        <x:v>10.1016/S0030-4018(01)01495-X</x:v>
      </x:c>
      <x:c r="K22" s="88" t="str">
        <x:v>https://www.sciencedirect.com/science/article/pii/S003040180101495X</x:v>
      </x:c>
      <x:c r="L22" s="88" t="str"/>
      <x:c r="M22" s="84" t="str">
        <x:v>The spectral width of an atomic absorption line, observed with a steady light source, typically increases as the light intensity increases, an effect known as power broadening. In this paper, we point out classes of pulsed-light observations where power broadening does not always occur. We present analytical and numerical results, supported by experimental data of coherent pulsed excitation probed by photoionization, which show that the extent of power broadening depends crucially upon the nature of excitation and the type of measurement. In particular, we show that a spectral line obtained from measurement performed after pulsed excitation exhibits no power broadening. For pulsed excitation and continuous measurement, the spectral line contains two components: a power-broadened signal collected during the excitation and an unbroadened signal collected after the excitation.</x:v>
      </x:c>
      <x:c r="N22" s="84" t="str"/>
      <x:c r="O22" s="84" t="str"/>
      <x:c r="P22" s="84" t="str">
        <x:v>/Users/asafsolonnikov/Developer/amplitude-robust-spectroscopy/paper/references.bib</x:v>
      </x:c>
      <x:c r="Q22" s="84" t="str"/>
      <x:c r="R22" s="84" t="str">
        <x:v>VITANOV2001117</x:v>
      </x:c>
      <x:c r="S22" s="84" t="str">
        <x:v>original source record</x:v>
      </x:c>
    </x:row>
    <x:row r="23" ht="78" customHeight="1">
      <x:c r="A23" s="82" t="str">
        <x:v>PN-019</x:v>
      </x:c>
      <x:c r="B23" s="84" t="str">
        <x:v>Nonadiabatic transitions in a two-level quantum system: Pulse-shape dependence of the transition probability for a two-level atom driven by a pulsed radiation field</x:v>
      </x:c>
      <x:c r="C23" s="87" t="n">
        <x:v>1998</x:v>
      </x:c>
      <x:c r="D23" s="84" t="str">
        <x:v>Jan</x:v>
      </x:c>
      <x:c r="E23" s="84" t="str">
        <x:v>Phys. Rev. A</x:v>
      </x:c>
      <x:c r="F23" s="84" t="str">
        <x:v>American Physical Society</x:v>
      </x:c>
      <x:c r="G23" s="84" t="str">
        <x:v>57</x:v>
      </x:c>
      <x:c r="H23" s="84" t="str">
        <x:v>1</x:v>
      </x:c>
      <x:c r="I23" s="84" t="str">
        <x:v>79–92</x:v>
      </x:c>
      <x:c r="J23" s="88" t="str">
        <x:v>10.1103/PhysRevA.57.79</x:v>
      </x:c>
      <x:c r="K23" s="88" t="str">
        <x:v>https://link.aps.org/doi/10.1103/PhysRevA.57.79</x:v>
      </x:c>
      <x:c r="L23" s="88" t="str"/>
      <x:c r="M23" s="84" t="str"/>
      <x:c r="N23" s="84" t="str"/>
      <x:c r="O23" s="84" t="str"/>
      <x:c r="P23" s="84" t="str">
        <x:v>/Users/asafsolonnikov/Developer/amplitude-robust-spectroscopy/paper/references.bib</x:v>
      </x:c>
      <x:c r="Q23" s="84" t="str"/>
      <x:c r="R23" s="84" t="str">
        <x:v>PhysRevA.57.79</x:v>
      </x:c>
      <x:c r="S23" s="84" t="str">
        <x:v>original source record</x:v>
      </x:c>
    </x:row>
    <x:row r="24" ht="78" customHeight="1">
      <x:c r="A24" s="82" t="str">
        <x:v>PN-020</x:v>
      </x:c>
      <x:c r="B24" s="84" t="str">
        <x:v>Breaking the diffraction resolution limit by stimulated emission: stimulated-emission-depletion fluorescence microscopy</x:v>
      </x:c>
      <x:c r="C24" s="87" t="n">
        <x:v>1994</x:v>
      </x:c>
      <x:c r="D24" s="84" t="str">
        <x:v>jun</x:v>
      </x:c>
      <x:c r="E24" s="84" t="str">
        <x:v>Optics Letters</x:v>
      </x:c>
      <x:c r="F24" s="84" t="str"/>
      <x:c r="G24" s="84" t="str">
        <x:v>19</x:v>
      </x:c>
      <x:c r="H24" s="84" t="str">
        <x:v>11</x:v>
      </x:c>
      <x:c r="I24" s="84" t="str">
        <x:v>780–782</x:v>
      </x:c>
      <x:c r="J24" s="88" t="str">
        <x:v>10.1364/OL.19.000780</x:v>
      </x:c>
      <x:c r="K24" s="88" t="str">
        <x:v>https://opg.optica.org/ol/abstract.cfm?uri=ol-19-11-780</x:v>
      </x:c>
      <x:c r="L24" s="88" t="str"/>
      <x:c r="M24" s="84" t="str">
        <x:v>We propose a new type of scanning fluorescence microscope capable of resolving 35 nm in the far field. We overcome the diffraction resolution limit by employing stimulated emission to inhibit the fluorescence process in the outer regions of the excitation point-spread function. In contrast to near-field scanning optical microscopy, this method can produce three-dimensional images of translucent specimens.</x:v>
      </x:c>
      <x:c r="N24" s="84" t="str">
        <x:v>Analogy paper, not a qubit paper: useful for the conceptual pattern of using a strong shaped control field to suppress unwanted response and isolate a narrower feature.</x:v>
      </x:c>
      <x:c r="O24" s="84" t="str"/>
      <x:c r="P24" s="84" t="str">
        <x:v>/Users/asafsolonnikov/Developer/amplitude-robust-spectroscopy/paper/references.bib; /Users/asafsolonnikov/.research-assistant/research.db :: project=power-narrowing-spectroscopy</x:v>
      </x:c>
      <x:c r="Q24" s="84" t="str">
        <x:v>41</x:v>
      </x:c>
      <x:c r="R24" s="84" t="str">
        <x:v>hell_breaking_1994</x:v>
      </x:c>
      <x:c r="S24" s="84" t="str">
        <x:v>DOI, original source record</x:v>
      </x:c>
    </x:row>
    <x:row r="25" ht="78" customHeight="1">
      <x:c r="A25" s="82" t="str">
        <x:v>PN-021</x:v>
      </x:c>
      <x:c r="B25" s="84" t="str">
        <x:v>Improvement of lateral resolution in far-field fluorescence light microscopy by using two-photon excitation with offset beams</x:v>
      </x:c>
      <x:c r="C25" s="87" t="n">
        <x:v>1994</x:v>
      </x:c>
      <x:c r="D25" s="84" t="str"/>
      <x:c r="E25" s="84" t="str">
        <x:v>Optics Communications</x:v>
      </x:c>
      <x:c r="F25" s="84" t="str"/>
      <x:c r="G25" s="84" t="str">
        <x:v>106</x:v>
      </x:c>
      <x:c r="H25" s="84" t="str">
        <x:v>1</x:v>
      </x:c>
      <x:c r="I25" s="84" t="str">
        <x:v>19-24</x:v>
      </x:c>
      <x:c r="J25" s="88" t="str">
        <x:v>10.1016/0030-4018(94)90050-7</x:v>
      </x:c>
      <x:c r="K25" s="88" t="str">
        <x:v>https://www.sciencedirect.com/science/article/pii/0030401894900507</x:v>
      </x:c>
      <x:c r="L25" s="88" t="str"/>
      <x:c r="M25" s="84" t="str">
        <x:v>A method is described of increasing the resolution in far-field fluorescence light microscopy by a factor of 2. Calculations show that a lateral resolution of 75 nm is achieved with a lens of numerical aperture of 1.4 (oil immersion) by a two-photon excitation mode with each photon stemming from displaced focused light beams of λ = 500 nm and overlapping main maxima.</x:v>
      </x:c>
      <x:c r="N25" s="84" t="str"/>
      <x:c r="O25" s="84" t="str"/>
      <x:c r="P25" s="84" t="str">
        <x:v>/Users/asafsolonnikov/Developer/amplitude-robust-spectroscopy/paper/references.bib</x:v>
      </x:c>
      <x:c r="Q25" s="84" t="str"/>
      <x:c r="R25" s="84" t="str">
        <x:v>HELL199419</x:v>
      </x:c>
      <x:c r="S25" s="84" t="str">
        <x:v>original source record</x:v>
      </x:c>
    </x:row>
    <x:row r="26" ht="78" customHeight="1">
      <x:c r="A26" s="82" t="str">
        <x:v>PN-022</x:v>
      </x:c>
      <x:c r="B26" s="84" t="str">
        <x:v>Stability of quantum motion in chaotic and regular systems</x:v>
      </x:c>
      <x:c r="C26" s="87" t="n">
        <x:v>1984</x:v>
      </x:c>
      <x:c r="D26" s="84" t="str">
        <x:v>Oct</x:v>
      </x:c>
      <x:c r="E26" s="84" t="str">
        <x:v>Phys. Rev. A</x:v>
      </x:c>
      <x:c r="F26" s="84" t="str">
        <x:v>American Physical Society</x:v>
      </x:c>
      <x:c r="G26" s="84" t="str">
        <x:v>30</x:v>
      </x:c>
      <x:c r="H26" s="84" t="str">
        <x:v>4</x:v>
      </x:c>
      <x:c r="I26" s="84" t="str">
        <x:v>1610–1615</x:v>
      </x:c>
      <x:c r="J26" s="88" t="str">
        <x:v>10.1103/PhysRevA.30.1610</x:v>
      </x:c>
      <x:c r="K26" s="88" t="str">
        <x:v>https://link.aps.org/doi/10.1103/PhysRevA.30.1610</x:v>
      </x:c>
      <x:c r="L26" s="88" t="str"/>
      <x:c r="M26" s="84" t="str"/>
      <x:c r="N26" s="84" t="str"/>
      <x:c r="O26" s="84" t="str"/>
      <x:c r="P26" s="84" t="str">
        <x:v>/Users/asafsolonnikov/Developer/amplitude-robust-spectroscopy/paper/references.bib</x:v>
      </x:c>
      <x:c r="Q26" s="84" t="str"/>
      <x:c r="R26" s="84" t="str">
        <x:v>PhysRevA.30.1610</x:v>
      </x:c>
      <x:c r="S26" s="84" t="str">
        <x:v>original source record</x:v>
      </x:c>
    </x:row>
    <x:row r="27" ht="78" customHeight="1">
      <x:c r="A27" s="82" t="str">
        <x:v>PN-023</x:v>
      </x:c>
      <x:c r="B27" s="84" t="str">
        <x:v>Optical Resonance and Two Level Atoms</x:v>
      </x:c>
      <x:c r="C27" s="87" t="n">
        <x:v>1975</x:v>
      </x:c>
      <x:c r="D27" s="84" t="str">
        <x:v>dec</x:v>
      </x:c>
      <x:c r="E27" s="84" t="str">
        <x:v>Physics Bulletin</x:v>
      </x:c>
      <x:c r="F27" s="84" t="str"/>
      <x:c r="G27" s="84" t="str">
        <x:v>26</x:v>
      </x:c>
      <x:c r="H27" s="84" t="str">
        <x:v>12</x:v>
      </x:c>
      <x:c r="I27" s="84" t="str">
        <x:v>545</x:v>
      </x:c>
      <x:c r="J27" s="88" t="str">
        <x:v>10.1088/0031-9112/26/12/039</x:v>
      </x:c>
      <x:c r="K27" s="88" t="str">
        <x:v>https://doi.org/10.1088/0031-9112/26/12/039</x:v>
      </x:c>
      <x:c r="L27" s="88" t="str"/>
      <x:c r="M27" s="84" t="str">
        <x:v>L Allen and J H Eberly Chichester: J Wiley 1975 pp xiii + 233 price £10.80 (cased) Allen and Eberly, who have been most actively engaged in the expanding field of laser physics have written this introduction to optical resonance, pulse propagation and superradiance and allied phenomena relying mainly on quasiclassical methods. The mathematical apparatus and the actual, minimal, amount of quantum electrodynamics put to use, should make this text accessible to every graduate physicist.</x:v>
      </x:c>
      <x:c r="N27" s="84" t="str"/>
      <x:c r="O27" s="84" t="str"/>
      <x:c r="P27" s="84" t="str">
        <x:v>/Users/asafsolonnikov/Developer/amplitude-robust-spectroscopy/paper/references.bib</x:v>
      </x:c>
      <x:c r="Q27" s="84" t="str"/>
      <x:c r="R27" s="84" t="str">
        <x:v>Zienau_1975</x:v>
      </x:c>
      <x:c r="S27" s="84" t="str">
        <x:v>original source record</x:v>
      </x:c>
    </x:row>
    <x:row r="28" ht="78" customHeight="1">
      <x:c r="A28" s="82" t="str">
        <x:v>PN-024</x:v>
      </x:c>
      <x:c r="B28" s="84" t="str">
        <x:v>Infrared and Optical Masers</x:v>
      </x:c>
      <x:c r="C28" s="87" t="n">
        <x:v>1958</x:v>
      </x:c>
      <x:c r="D28" s="84" t="str">
        <x:v>dec</x:v>
      </x:c>
      <x:c r="E28" s="84" t="str">
        <x:v>Physical Review</x:v>
      </x:c>
      <x:c r="F28" s="84" t="str"/>
      <x:c r="G28" s="84" t="str">
        <x:v>112</x:v>
      </x:c>
      <x:c r="H28" s="84" t="str">
        <x:v>6</x:v>
      </x:c>
      <x:c r="I28" s="84" t="str">
        <x:v>1940–1949</x:v>
      </x:c>
      <x:c r="J28" s="88" t="str">
        <x:v>10.1103/PhysRev.112.1940</x:v>
      </x:c>
      <x:c r="K28" s="88" t="str">
        <x:v>https://link.aps.org/doi/10.1103/PhysRev.112.1940</x:v>
      </x:c>
      <x:c r="L28" s="88" t="str"/>
      <x:c r="M28" s="84" t="str">
        <x:v>The extension of maser techniques to the infrared and optical region is considered. It is shown that by using a resonant cavity of centimeter dimensions, having many resonant modes, maser oscillation at these wavelengths can be achieved by pumping with reasonable amounts of incoherent light. For wavelengths much shorter than those of the ultraviolet region, maser-type amplification appears to be quite impractical. Although use of a multimode cavity is suggested, a single mode may be selected by making only the end walls highly reflecting, and defining a suitably small angular aperture. Then extremely monochromatic and coherent light is produced. The design principles are illustrated by reference to a system using potassium vapor.</x:v>
      </x:c>
      <x:c r="N28" s="84" t="str">
        <x:v>Publisher: American Physical Society</x:v>
      </x:c>
      <x:c r="O28" s="84" t="str">
        <x:v>/Users/asafsolonnikov/Zotero/storage/HTKBWHAU/Schawlow and Townes - 1958 - Infrared and Optical Masers.pdf</x:v>
      </x:c>
      <x:c r="P28" s="84" t="str">
        <x:v>/Users/asafsolonnikov/Developer/amplitude-robust-spectroscopy/paper/references.bib</x:v>
      </x:c>
      <x:c r="Q28" s="84" t="str"/>
      <x:c r="R28" s="84" t="str">
        <x:v>schawlow_infrared_1958</x:v>
      </x:c>
      <x:c r="S28" s="84" t="str">
        <x:v>original source record</x:v>
      </x:c>
    </x:row>
    <x:row r="29" ht="78" customHeight="1">
      <x:c r="A29" s="82" t="str">
        <x:v>PN-025</x:v>
      </x:c>
      <x:c r="B29" s="84" t="str">
        <x:v>A Molecular Beam Resonance Method with Separated Oscillating Fields</x:v>
      </x:c>
      <x:c r="C29" s="87" t="n">
        <x:v>1950</x:v>
      </x:c>
      <x:c r="D29" s="84" t="str">
        <x:v>Jun</x:v>
      </x:c>
      <x:c r="E29" s="84" t="str">
        <x:v>Phys. Rev.</x:v>
      </x:c>
      <x:c r="F29" s="84" t="str">
        <x:v>American Physical Society</x:v>
      </x:c>
      <x:c r="G29" s="84" t="str">
        <x:v>78</x:v>
      </x:c>
      <x:c r="H29" s="84" t="str">
        <x:v>6</x:v>
      </x:c>
      <x:c r="I29" s="84" t="str">
        <x:v>695–699</x:v>
      </x:c>
      <x:c r="J29" s="88" t="str">
        <x:v>10.1103/PhysRev.78.695</x:v>
      </x:c>
      <x:c r="K29" s="88" t="str">
        <x:v>https://link.aps.org/doi/10.1103/PhysRev.78.695</x:v>
      </x:c>
      <x:c r="L29" s="88" t="str"/>
      <x:c r="M29" s="84" t="str"/>
      <x:c r="N29" s="84" t="str"/>
      <x:c r="O29" s="84" t="str"/>
      <x:c r="P29" s="84" t="str">
        <x:v>/Users/asafsolonnikov/Developer/amplitude-robust-spectroscopy/paper/references.bib</x:v>
      </x:c>
      <x:c r="Q29" s="84" t="str"/>
      <x:c r="R29" s="84" t="str">
        <x:v>PhysRev.78.695</x:v>
      </x:c>
      <x:c r="S29" s="84" t="str">
        <x:v>original source record</x:v>
      </x:c>
    </x:row>
    <x:row r="30" ht="78" customHeight="1">
      <x:c r="A30" s="82" t="str">
        <x:v>PN-026</x:v>
      </x:c>
      <x:c r="B30" s="84" t="str">
        <x:v>Nuclear Induction</x:v>
      </x:c>
      <x:c r="C30" s="87" t="n">
        <x:v>1946</x:v>
      </x:c>
      <x:c r="D30" s="84" t="str">
        <x:v>Oct</x:v>
      </x:c>
      <x:c r="E30" s="84" t="str">
        <x:v>Phys. Rev.</x:v>
      </x:c>
      <x:c r="F30" s="84" t="str">
        <x:v>American Physical Society</x:v>
      </x:c>
      <x:c r="G30" s="84" t="str">
        <x:v>70</x:v>
      </x:c>
      <x:c r="H30" s="84" t="str">
        <x:v>7-8</x:v>
      </x:c>
      <x:c r="I30" s="84" t="str">
        <x:v>460–474</x:v>
      </x:c>
      <x:c r="J30" s="88" t="str">
        <x:v>10.1103/PhysRev.70.460</x:v>
      </x:c>
      <x:c r="K30" s="88" t="str">
        <x:v>https://link.aps.org/doi/10.1103/PhysRev.70.460</x:v>
      </x:c>
      <x:c r="L30" s="88" t="str"/>
      <x:c r="M30" s="84" t="str"/>
      <x:c r="N30" s="84" t="str"/>
      <x:c r="O30" s="84" t="str"/>
      <x:c r="P30" s="84" t="str">
        <x:v>/Users/asafsolonnikov/Developer/amplitude-robust-spectroscopy/paper/references.bib</x:v>
      </x:c>
      <x:c r="Q30" s="84" t="str"/>
      <x:c r="R30" s="84" t="str">
        <x:v>PhysRev.70.460</x:v>
      </x:c>
      <x:c r="S30" s="84" t="str">
        <x:v>original source record</x:v>
      </x:c>
    </x:row>
    <x:row r="31" ht="78" customHeight="1">
      <x:c r="A31" s="82" t="str">
        <x:v>PN-027</x:v>
      </x:c>
      <x:c r="B31" s="84" t="str">
        <x:v>Resonance Absorption by Nuclear Magnetic Moments in a Solid</x:v>
      </x:c>
      <x:c r="C31" s="87" t="n">
        <x:v>1946</x:v>
      </x:c>
      <x:c r="D31" s="84" t="str">
        <x:v>Jan</x:v>
      </x:c>
      <x:c r="E31" s="84" t="str">
        <x:v>Phys. Rev.</x:v>
      </x:c>
      <x:c r="F31" s="84" t="str">
        <x:v>American Physical Society</x:v>
      </x:c>
      <x:c r="G31" s="84" t="str">
        <x:v>69</x:v>
      </x:c>
      <x:c r="H31" s="84" t="str">
        <x:v>1-2</x:v>
      </x:c>
      <x:c r="I31" s="84" t="str">
        <x:v>37–38</x:v>
      </x:c>
      <x:c r="J31" s="88" t="str">
        <x:v>10.1103/PhysRev.69.37</x:v>
      </x:c>
      <x:c r="K31" s="88" t="str">
        <x:v>https://link.aps.org/doi/10.1103/PhysRev.69.37</x:v>
      </x:c>
      <x:c r="L31" s="88" t="str"/>
      <x:c r="M31" s="84" t="str"/>
      <x:c r="N31" s="84" t="str"/>
      <x:c r="O31" s="84" t="str"/>
      <x:c r="P31" s="84" t="str">
        <x:v>/Users/asafsolonnikov/Developer/amplitude-robust-spectroscopy/paper/references.bib</x:v>
      </x:c>
      <x:c r="Q31" s="84" t="str"/>
      <x:c r="R31" s="84" t="str">
        <x:v>PhysRev.69.37</x:v>
      </x:c>
      <x:c r="S31" s="84" t="str">
        <x:v>original source record</x:v>
      </x:c>
    </x:row>
    <x:row r="32" ht="78" customHeight="1">
      <x:c r="A32" s="82" t="str">
        <x:v>PN-028</x:v>
      </x:c>
      <x:c r="B32" s="84" t="str">
        <x:v>Double Stern-Gerlach Experiment and Related Collision Phenomena</x:v>
      </x:c>
      <x:c r="C32" s="87" t="n">
        <x:v>1932</x:v>
      </x:c>
      <x:c r="D32" s="84" t="str">
        <x:v>May</x:v>
      </x:c>
      <x:c r="E32" s="84" t="str">
        <x:v>Phys. Rev.</x:v>
      </x:c>
      <x:c r="F32" s="84" t="str">
        <x:v>American Physical Society</x:v>
      </x:c>
      <x:c r="G32" s="84" t="str">
        <x:v>40</x:v>
      </x:c>
      <x:c r="H32" s="84" t="str">
        <x:v>4</x:v>
      </x:c>
      <x:c r="I32" s="84" t="str">
        <x:v>502–507</x:v>
      </x:c>
      <x:c r="J32" s="88" t="str">
        <x:v>10.1103/PhysRev.40.502</x:v>
      </x:c>
      <x:c r="K32" s="88" t="str">
        <x:v>https://link.aps.org/doi/10.1103/PhysRev.40.502</x:v>
      </x:c>
      <x:c r="L32" s="88" t="str"/>
      <x:c r="M32" s="84" t="str"/>
      <x:c r="N32" s="84" t="str"/>
      <x:c r="O32" s="84" t="str"/>
      <x:c r="P32" s="84" t="str">
        <x:v>/Users/asafsolonnikov/Developer/amplitude-robust-spectroscopy/paper/references.bib</x:v>
      </x:c>
      <x:c r="Q32" s="84" t="str"/>
      <x:c r="R32" s="84" t="str">
        <x:v>PhysRev.40.502</x:v>
      </x:c>
      <x:c r="S32" s="84" t="str">
        <x:v>original source record</x:v>
      </x:c>
    </x:row>
    <x:row r="33" ht="78" customHeight="1">
      <x:c r="A33" s="82" t="str">
        <x:v>PN-029</x:v>
      </x:c>
      <x:c r="B33" s="84" t="str">
        <x:v>A nanoscale magnetic spectrum analyzer based on qubit dressed states</x:v>
      </x:c>
      <x:c r="C33" s="87" t="n">
        <x:v>2026</x:v>
      </x:c>
      <x:c r="D33" s="84" t="str"/>
      <x:c r="E33" s="84" t="str">
        <x:v>arXiv</x:v>
      </x:c>
      <x:c r="F33" s="84" t="str"/>
      <x:c r="G33" s="84" t="str"/>
      <x:c r="H33" s="84" t="str"/>
      <x:c r="I33" s="84" t="str"/>
      <x:c r="J33" s="88" t="str"/>
      <x:c r="K33" s="88" t="str">
        <x:v>https://arxiv.org/abs/2606.05426</x:v>
      </x:c>
      <x:c r="L33" s="88" t="str">
        <x:v>2606.05426</x:v>
      </x:c>
      <x:c r="M33" s="84" t="str">
        <x:v>Develops a nanoscale magnetic spectrum analyzer based on qubit dressed states, targeting broad spectral bandwidth, high sensitivity, and nanoscale spatial resolution with NV centers.</x:v>
      </x:c>
      <x:c r="N33" s="84" t="str">
        <x:v>Adjacent but relevant to your dressed/adiabatic-basis and spectroscopy interests: spectroscopy through engineered qubit dressed states.</x:v>
      </x:c>
      <x:c r="O33" s="84" t="str"/>
      <x:c r="P33" s="84" t="str">
        <x:v>/Users/asafsolonnikov/.research-assistant/research.db :: project=power-narrowing-spectroscopy</x:v>
      </x:c>
      <x:c r="Q33" s="84" t="str">
        <x:v>61</x:v>
      </x:c>
      <x:c r="R33" s="84" t="str"/>
      <x:c r="S33" s="84" t="str">
        <x:v>original source record</x:v>
      </x:c>
    </x:row>
    <x:row r="34" ht="78" customHeight="1">
      <x:c r="A34" s="82" t="str">
        <x:v>PN-030</x:v>
      </x:c>
      <x:c r="B34" s="84" t="str">
        <x:v>Assessing Spatiotemporally Correlated Noise in Superconducting Qubits via Pulse-Based Quantum Noise Spectroscopy</x:v>
      </x:c>
      <x:c r="C34" s="87" t="n">
        <x:v>2026</x:v>
      </x:c>
      <x:c r="D34" s="84" t="str"/>
      <x:c r="E34" s="84" t="str">
        <x:v>arXiv</x:v>
      </x:c>
      <x:c r="F34" s="84" t="str"/>
      <x:c r="G34" s="84" t="str"/>
      <x:c r="H34" s="84" t="str"/>
      <x:c r="I34" s="84" t="str"/>
      <x:c r="J34" s="88" t="str"/>
      <x:c r="K34" s="88" t="str">
        <x:v>https://arxiv.org/abs/2603.19373</x:v>
      </x:c>
      <x:c r="L34" s="88" t="str">
        <x:v>2603.19373</x:v>
      </x:c>
      <x:c r="M34" s="84" t="str">
        <x:v>Proposes and validates a nonparametric quantum noise spectroscopy protocol for estimating spectra and static errors associated with spatiotemporally correlated dephasing noise and fluctuating quantum crosstalk on two superconducting qubits.</x:v>
      </x:c>
      <x:c r="N34" s="84" t="str">
        <x:v>Strong 2026 hardware-context paper: pulse-based spectroscopy on superconducting qubits, relevant to echo/filter-function thinking and multi-qubit calibration.</x:v>
      </x:c>
      <x:c r="O34" s="84" t="str"/>
      <x:c r="P34" s="84" t="str">
        <x:v>/Users/asafsolonnikov/.research-assistant/research.db :: project=power-narrowing-spectroscopy</x:v>
      </x:c>
      <x:c r="Q34" s="84" t="str">
        <x:v>59</x:v>
      </x:c>
      <x:c r="R34" s="84" t="str"/>
      <x:c r="S34" s="84" t="str">
        <x:v>original source record</x:v>
      </x:c>
    </x:row>
    <x:row r="35" ht="78" customHeight="1">
      <x:c r="A35" s="82" t="str">
        <x:v>PN-031</x:v>
      </x:c>
      <x:c r="B35" s="84" t="str">
        <x:v>Pulse Shaping for Superconducting Qubits</x:v>
      </x:c>
      <x:c r="C35" s="87" t="n">
        <x:v>2026</x:v>
      </x:c>
      <x:c r="D35" s="84" t="str"/>
      <x:c r="E35" s="84" t="str">
        <x:v>arXiv</x:v>
      </x:c>
      <x:c r="F35" s="84" t="str"/>
      <x:c r="G35" s="84" t="str"/>
      <x:c r="H35" s="84" t="str"/>
      <x:c r="I35" s="84" t="str"/>
      <x:c r="J35" s="88" t="str"/>
      <x:c r="K35" s="88" t="str">
        <x:v>https://arxiv.org/abs/2604.21565</x:v>
      </x:c>
      <x:c r="L35" s="88" t="str">
        <x:v>2604.21565</x:v>
      </x:c>
      <x:c r="M35" s="84" t="str">
        <x:v>Pedagogical introduction to pulse-shaping techniques for transmon qubits, covering pulse envelopes, spectral properties, finite bandwidth, leakage, DRAG, Magnus-expansion intuition, hardware realities of AWGs/LOs/IQ mixing, and extensions to two-qubit operations.</x:v>
      </x:c>
      <x:c r="N35" s="84" t="str">
        <x:v>Strong 2026 fit for your project: tutorial-level map of pulse shaping in exactly your hardware platform. Useful for literature-review framing and terminology.</x:v>
      </x:c>
      <x:c r="O35" s="84" t="str"/>
      <x:c r="P35" s="84" t="str">
        <x:v>/Users/asafsolonnikov/.research-assistant/research.db :: project=power-narrowing-spectroscopy</x:v>
      </x:c>
      <x:c r="Q35" s="84" t="str">
        <x:v>58</x:v>
      </x:c>
      <x:c r="R35" s="84" t="str"/>
      <x:c r="S35" s="84" t="str">
        <x:v>original source record</x:v>
      </x:c>
    </x:row>
    <x:row r="36" ht="78" customHeight="1">
      <x:c r="A36" s="82" t="str">
        <x:v>PN-032</x:v>
      </x:c>
      <x:c r="B36" s="84" t="str">
        <x:v>Superresolution in Quantum Noise Spectroscopy via Filter Design</x:v>
      </x:c>
      <x:c r="C36" s="87" t="n">
        <x:v>2026</x:v>
      </x:c>
      <x:c r="D36" s="84" t="str"/>
      <x:c r="E36" s="84" t="str">
        <x:v>arXiv</x:v>
      </x:c>
      <x:c r="F36" s="84" t="str"/>
      <x:c r="G36" s="84" t="str"/>
      <x:c r="H36" s="84" t="str"/>
      <x:c r="I36" s="84" t="str"/>
      <x:c r="J36" s="88" t="str"/>
      <x:c r="K36" s="88" t="str">
        <x:v>https://arxiv.org/abs/2602.11275</x:v>
      </x:c>
      <x:c r="L36" s="88" t="str">
        <x:v>2602.11275</x:v>
      </x:c>
      <x:c r="M36" s="84" t="str">
        <x:v>Uses filter-function quantum control theory to derive analytic conditions for quantum sensing protocols that achieve superresolution: discriminating spectral lines with arbitrarily small frequency separation.</x:v>
      </x:c>
      <x:c r="N36" s="84" t="str">
        <x:v>Very relevant to the T2/resolution-limit thread. It connects superresolution directly to filter design/control protocols rather than just post-processing.</x:v>
      </x:c>
      <x:c r="O36" s="84" t="str"/>
      <x:c r="P36" s="84" t="str">
        <x:v>/Users/asafsolonnikov/.research-assistant/research.db :: project=power-narrowing-spectroscopy</x:v>
      </x:c>
      <x:c r="Q36" s="84" t="str">
        <x:v>57</x:v>
      </x:c>
      <x:c r="R36" s="84" t="str"/>
      <x:c r="S36" s="84" t="str">
        <x:v>original source record</x:v>
      </x:c>
    </x:row>
    <x:row r="37" ht="78" customHeight="1">
      <x:c r="A37" s="82" t="str">
        <x:v>PN-033</x:v>
      </x:c>
      <x:c r="B37" s="84" t="str">
        <x:v>Time-Reversal and Reversible Dynamics in Cavity QED for Quantum Metrology</x:v>
      </x:c>
      <x:c r="C37" s="87" t="n">
        <x:v>2026</x:v>
      </x:c>
      <x:c r="D37" s="84" t="str"/>
      <x:c r="E37" s="84" t="str">
        <x:v>arXiv</x:v>
      </x:c>
      <x:c r="F37" s="84" t="str"/>
      <x:c r="G37" s="84" t="str"/>
      <x:c r="H37" s="84" t="str"/>
      <x:c r="I37" s="84" t="str"/>
      <x:c r="J37" s="88" t="str"/>
      <x:c r="K37" s="88" t="str">
        <x:v>https://arxiv.org/abs/2607.02320</x:v>
      </x:c>
      <x:c r="L37" s="88" t="str">
        <x:v>2607.02320</x:v>
      </x:c>
      <x:c r="M37" s="84" t="str">
        <x:v>Reviews and develops time-reversal/reversible dynamics in cavity QED for quantum-enhanced metrology, emphasizing that many-body interactions can generate entangled states and can also be reversed to extract metrological advantage with realistic measurements.</x:v>
      </x:c>
      <x:c r="N37" s="84" t="str">
        <x:v>Fresh July 2026 paper. Adjacent rather than superconducting-specific, but useful for the Loschmidt/time-reversal measurement layer of the project.</x:v>
      </x:c>
      <x:c r="O37" s="84" t="str"/>
      <x:c r="P37" s="84" t="str">
        <x:v>/Users/asafsolonnikov/.research-assistant/research.db :: project=power-narrowing-spectroscopy</x:v>
      </x:c>
      <x:c r="Q37" s="84" t="str">
        <x:v>60</x:v>
      </x:c>
      <x:c r="R37" s="84" t="str"/>
      <x:c r="S37" s="84" t="str">
        <x:v>original source record</x:v>
      </x:c>
    </x:row>
    <x:row r="38" ht="78" customHeight="1">
      <x:c r="A38" s="82" t="str">
        <x:v>PN-034</x:v>
      </x:c>
      <x:c r="B38" s="84" t="str">
        <x:v>Observation of Power Superbroadening of Spectral Line Profiles on IBM Quantum</x:v>
      </x:c>
      <x:c r="C38" s="87" t="n">
        <x:v>2025</x:v>
      </x:c>
      <x:c r="D38" s="84" t="str"/>
      <x:c r="E38" s="84" t="str">
        <x:v>arXiv</x:v>
      </x:c>
      <x:c r="F38" s="84" t="str"/>
      <x:c r="G38" s="84" t="str"/>
      <x:c r="H38" s="84" t="str"/>
      <x:c r="I38" s="84" t="str"/>
      <x:c r="J38" s="88" t="str">
        <x:v>10.48550/arXiv.2506.08748</x:v>
      </x:c>
      <x:c r="K38" s="88" t="str">
        <x:v>https://arxiv.org/abs/2506.08748</x:v>
      </x:c>
      <x:c r="L38" s="88" t="str">
        <x:v>2506.08748</x:v>
      </x:c>
      <x:c r="M38" s="84" t="str">
        <x:v>Follow-up IBM Quantum study of shaped pulses that intentionally produce spectral line profiles with power broadening greater than rectangular pulses, contrasting with Lorentzian-pulse power narrowing and surveying pulse-shape dependence of spectral response.</x:v>
      </x:c>
      <x:c r="N38" s="84" t="str">
        <x:v>Useful comparison paper: not power narrowing itself, but highly relevant for distinguishing pulse families that narrow versus broaden spectral profiles under stronger driving.</x:v>
      </x:c>
      <x:c r="O38" s="84" t="str"/>
      <x:c r="P38" s="84" t="str">
        <x:v>/Users/asafsolonnikov/.research-assistant/research.db :: project=power-narrowing-spectroscopy</x:v>
      </x:c>
      <x:c r="Q38" s="84" t="str">
        <x:v>26</x:v>
      </x:c>
      <x:c r="R38" s="84" t="str"/>
      <x:c r="S38" s="84" t="str">
        <x:v>original source record</x:v>
      </x:c>
    </x:row>
    <x:row r="39" ht="78" customHeight="1">
      <x:c r="A39" s="82" t="str">
        <x:v>PN-035</x:v>
      </x:c>
      <x:c r="B39" s="84" t="str">
        <x:v>Defying Conventional Wisdom in Spectroscopy: Power Narrowing on IBM Quantum</x:v>
      </x:c>
      <x:c r="C39" s="87" t="n">
        <x:v>2024</x:v>
      </x:c>
      <x:c r="D39" s="84" t="str"/>
      <x:c r="E39" s="84" t="str">
        <x:v>Physical Review Letters / arXiv</x:v>
      </x:c>
      <x:c r="F39" s="84" t="str"/>
      <x:c r="G39" s="84" t="str"/>
      <x:c r="H39" s="84" t="str"/>
      <x:c r="I39" s="84" t="str"/>
      <x:c r="J39" s="88" t="str">
        <x:v>10.1103/PhysRevLett.132.020802</x:v>
      </x:c>
      <x:c r="K39" s="88" t="str">
        <x:v>https://arxiv.org/abs/2308.14187</x:v>
      </x:c>
      <x:c r="L39" s="88" t="str">
        <x:v>2308.14187</x:v>
      </x:c>
      <x:c r="M39" s="84" t="str">
        <x:v>Power narrowing is demonstrated experimentally for powers-of-Lorentzian pulse shapes on the IBM Quantum processor ibmq_manila. The line width is reduced by over a factor of 10 when increasing pulse area from pi to 7 pi, and the work analyzes truncation of pulse wings and cut-off broadening.</x:v>
      </x:c>
      <x:c r="N39" s="84" t="str">
        <x:v>Strong direct fit: Lorentzian shaped pulses, IBM superconducting-qubit hardware, amplitude-dependent linewidth narrowing, and truncation effects relevant to root-Lorentzian/echo spectroscopy.</x:v>
      </x:c>
      <x:c r="O39" s="84" t="str"/>
      <x:c r="P39" s="84" t="str">
        <x:v>/Users/asafsolonnikov/.research-assistant/research.db :: project=power-narrowing-spectroscopy</x:v>
      </x:c>
      <x:c r="Q39" s="84" t="str">
        <x:v>25</x:v>
      </x:c>
      <x:c r="R39" s="84" t="str"/>
      <x:c r="S39" s="84" t="str">
        <x:v>original source record</x:v>
      </x:c>
    </x:row>
    <x:row r="40" ht="78" customHeight="1">
      <x:c r="A40" s="82" t="str">
        <x:v>PN-036</x:v>
      </x:c>
      <x:c r="B40" s="84" t="str">
        <x:v>Qubit dynamics driven by smooth pulses of finite duration</x:v>
      </x:c>
      <x:c r="C40" s="87" t="n">
        <x:v>2024</x:v>
      </x:c>
      <x:c r="D40" s="84" t="str"/>
      <x:c r="E40" s="84" t="str">
        <x:v>arXiv</x:v>
      </x:c>
      <x:c r="F40" s="84" t="str"/>
      <x:c r="G40" s="84" t="str"/>
      <x:c r="H40" s="84" t="str"/>
      <x:c r="I40" s="84" t="str"/>
      <x:c r="J40" s="88" t="str">
        <x:v>10.48550/arXiv.2404.12236</x:v>
      </x:c>
      <x:c r="K40" s="88" t="str">
        <x:v>https://arxiv.org/abs/2404.12236</x:v>
      </x:c>
      <x:c r="L40" s="88" t="str">
        <x:v>2404.12236</x:v>
      </x:c>
      <x:c r="M40" s="84" t="str">
        <x:v>Study of qubit dynamics under smooth finite-duration pulses whose shapes start and end linearly in time. The work reports much weaker power broadening, faster vanishing wings in excitation line profiles, reduced sidebands, analytic approximations, and agreement with IBM Quantum processor data.</x:v>
      </x:c>
      <x:c r="N40" s="84" t="str">
        <x:v>Very relevant adjacent paper: not Lorentzian power narrowing, but directly about shaped qubit pulses, reduced power broadening, line-profile wings, and IBM Quantum experiments.</x:v>
      </x:c>
      <x:c r="O40" s="84" t="str"/>
      <x:c r="P40" s="84" t="str">
        <x:v>/Users/asafsolonnikov/.research-assistant/research.db :: project=power-narrowing-spectroscopy</x:v>
      </x:c>
      <x:c r="Q40" s="84" t="str">
        <x:v>27</x:v>
      </x:c>
      <x:c r="R40" s="84" t="str"/>
      <x:c r="S40" s="84" t="str">
        <x:v>original source record</x:v>
      </x:c>
    </x:row>
    <x:row r="41" ht="78" customHeight="1">
      <x:c r="A41" s="82" t="str">
        <x:v>PN-037</x:v>
      </x:c>
      <x:c r="B41" s="84" t="str">
        <x:v>Controlling the uncontrollable: Quantum control of open system dynamics</x:v>
      </x:c>
      <x:c r="C41" s="87" t="n">
        <x:v>2022</x:v>
      </x:c>
      <x:c r="D41" s="84" t="str"/>
      <x:c r="E41" s="84" t="str">
        <x:v>arXiv / Science Advances</x:v>
      </x:c>
      <x:c r="F41" s="84" t="str"/>
      <x:c r="G41" s="84" t="str"/>
      <x:c r="H41" s="84" t="str"/>
      <x:c r="I41" s="84" t="str"/>
      <x:c r="J41" s="88" t="str">
        <x:v>10.48550/arXiv.2205.05971</x:v>
      </x:c>
      <x:c r="K41" s="88" t="str">
        <x:v>https://arxiv.org/abs/2205.05971</x:v>
      </x:c>
      <x:c r="L41" s="88" t="str">
        <x:v>2205.05971</x:v>
      </x:c>
      <x:c r="M41" s="84" t="str">
        <x:v>Develops control of open quantum systems using a thermodynamically consistent framework where the drive modifies the system-environment interaction and dissipation depends on the control protocol.</x:v>
      </x:c>
      <x:c r="N41" s="84" t="str">
        <x:v>Broader background, not spectroscopy-specific. Relevant for thinking about shaped pulses in a drive-dressed basis where dissipation and control are not separable.</x:v>
      </x:c>
      <x:c r="O41" s="84" t="str"/>
      <x:c r="P41" s="84" t="str">
        <x:v>/Users/asafsolonnikov/.research-assistant/research.db :: project=power-narrowing-spectroscopy</x:v>
      </x:c>
      <x:c r="Q41" s="84" t="str">
        <x:v>56</x:v>
      </x:c>
      <x:c r="R41" s="84" t="str"/>
      <x:c r="S41" s="84" t="str">
        <x:v>original source record</x:v>
      </x:c>
    </x:row>
    <x:row r="42" ht="78" customHeight="1">
      <x:c r="A42" s="82" t="str">
        <x:v>PN-038</x:v>
      </x:c>
      <x:c r="B42" s="84" t="str">
        <x:v>Experimental demonstration of composite pulses on IBM's quantum computer</x:v>
      </x:c>
      <x:c r="C42" s="87" t="n">
        <x:v>2022</x:v>
      </x:c>
      <x:c r="D42" s="84" t="str"/>
      <x:c r="E42" s="84" t="str">
        <x:v>arXiv</x:v>
      </x:c>
      <x:c r="F42" s="84" t="str"/>
      <x:c r="G42" s="84" t="str"/>
      <x:c r="H42" s="84" t="str"/>
      <x:c r="I42" s="84" t="str"/>
      <x:c r="J42" s="88" t="str">
        <x:v>10.48550/arXiv.2202.09647</x:v>
      </x:c>
      <x:c r="K42" s="88" t="str">
        <x:v>https://arxiv.org/abs/2202.09647</x:v>
      </x:c>
      <x:c r="L42" s="88" t="str">
        <x:v>2202.09647</x:v>
      </x:c>
      <x:c r="M42" s="84" t="str">
        <x:v>Experimental tests of broadband, narrowband, passband, and universal composite pulse sequences on an IBM superconducting transmon processor using low-level pulse control. The paper reports excitation profiles for many target probabilities and observes pronounced narrowband profiles.</x:v>
      </x:c>
      <x:c r="N42" s="84" t="str">
        <x:v>Strong fit for your robust spectroscopy/control angle: experimental IBM transmon pulse-control data with narrowband and passband excitation profiles.</x:v>
      </x:c>
      <x:c r="O42" s="84" t="str"/>
      <x:c r="P42" s="84" t="str">
        <x:v>/Users/asafsolonnikov/.research-assistant/research.db :: project=power-narrowing-spectroscopy</x:v>
      </x:c>
      <x:c r="Q42" s="84" t="str">
        <x:v>28</x:v>
      </x:c>
      <x:c r="R42" s="84" t="str"/>
      <x:c r="S42" s="84" t="str">
        <x:v>original source record</x:v>
      </x:c>
    </x:row>
    <x:row r="43" ht="78" customHeight="1">
      <x:c r="A43" s="82" t="str">
        <x:v>PN-039</x:v>
      </x:c>
      <x:c r="B43" s="84" t="str">
        <x:v>Variational Quantum Metrology with Loschmidt Echo</x:v>
      </x:c>
      <x:c r="C43" s="87" t="n">
        <x:v>2022</x:v>
      </x:c>
      <x:c r="D43" s="84" t="str"/>
      <x:c r="E43" s="84" t="str">
        <x:v>arXiv</x:v>
      </x:c>
      <x:c r="F43" s="84" t="str"/>
      <x:c r="G43" s="84" t="str"/>
      <x:c r="H43" s="84" t="str"/>
      <x:c r="I43" s="84" t="str"/>
      <x:c r="J43" s="88" t="str">
        <x:v>10.48550/arXiv.2211.12296</x:v>
      </x:c>
      <x:c r="K43" s="88" t="str">
        <x:v>https://arxiv.org/abs/2211.12296</x:v>
      </x:c>
      <x:c r="L43" s="88" t="str">
        <x:v>2211.12296</x:v>
      </x:c>
      <x:c r="M43" s="84" t="str">
        <x:v>Uses a symmetric variational quantum circuit, analogous to a Loschmidt echo with forward and backward evolution, to estimate quantum Fisher information and demonstrate quantum metrology advantages on a 10-spin processor.</x:v>
      </x:c>
      <x:c r="N43" s="84" t="str">
        <x:v>Modern implementation-oriented Loschmidt echo/metrology paper; useful for discussing echo signals as sensitivity-enhancing measurement protocols.</x:v>
      </x:c>
      <x:c r="O43" s="84" t="str"/>
      <x:c r="P43" s="84" t="str">
        <x:v>/Users/asafsolonnikov/.research-assistant/research.db :: project=power-narrowing-spectroscopy</x:v>
      </x:c>
      <x:c r="Q43" s="84" t="str">
        <x:v>44</x:v>
      </x:c>
      <x:c r="R43" s="84" t="str"/>
      <x:c r="S43" s="84" t="str">
        <x:v>original source record</x:v>
      </x:c>
    </x:row>
    <x:row r="44" ht="78" customHeight="1">
      <x:c r="A44" s="82" t="str">
        <x:v>PN-040</x:v>
      </x:c>
      <x:c r="B44" s="84" t="str">
        <x:v>Correlated noise in Brownian motion allows for super resolution</x:v>
      </x:c>
      <x:c r="C44" s="87" t="n">
        <x:v>2020</x:v>
      </x:c>
      <x:c r="D44" s="84" t="str"/>
      <x:c r="E44" s="84" t="str">
        <x:v>arXiv</x:v>
      </x:c>
      <x:c r="F44" s="84" t="str"/>
      <x:c r="G44" s="84" t="str"/>
      <x:c r="H44" s="84" t="str"/>
      <x:c r="I44" s="84" t="str"/>
      <x:c r="J44" s="88" t="str">
        <x:v>10.48550/arXiv.2005.08346</x:v>
      </x:c>
      <x:c r="K44" s="88" t="str">
        <x:v>https://arxiv.org/abs/2005.08346</x:v>
      </x:c>
      <x:c r="L44" s="88" t="str">
        <x:v>2005.08346</x:v>
      </x:c>
      <x:c r="M44" s="84" t="str">
        <x:v>Studies nano-NMR frequency resolution when diffusion broadening would normally limit spectral lines, showing that correlated diffusion noise can produce high spectral resolution in NV-based nano-NMR.</x:v>
      </x:c>
      <x:c r="N44" s="84" t="str">
        <x:v>Related background, lower priority: useful for the broader idea that correlated measurements/noise models can beat simple linewidth-resolution expectations.</x:v>
      </x:c>
      <x:c r="O44" s="84" t="str"/>
      <x:c r="P44" s="84" t="str">
        <x:v>/Users/asafsolonnikov/.research-assistant/research.db :: project=power-narrowing-spectroscopy</x:v>
      </x:c>
      <x:c r="Q44" s="84" t="str">
        <x:v>52</x:v>
      </x:c>
      <x:c r="R44" s="84" t="str"/>
      <x:c r="S44" s="84" t="str">
        <x:v>original source record</x:v>
      </x:c>
    </x:row>
    <x:row r="45" ht="78" customHeight="1">
      <x:c r="A45" s="82" t="str">
        <x:v>PN-041</x:v>
      </x:c>
      <x:c r="B45" s="84" t="str">
        <x:v>Precise Spectroscopy of High-Frequency Oscillating Fields with a Single-Qubit Sensor</x:v>
      </x:c>
      <x:c r="C45" s="87" t="n">
        <x:v>2020</x:v>
      </x:c>
      <x:c r="D45" s="84" t="str"/>
      <x:c r="E45" s="84" t="str">
        <x:v>arXiv</x:v>
      </x:c>
      <x:c r="F45" s="84" t="str"/>
      <x:c r="G45" s="84" t="str"/>
      <x:c r="H45" s="84" t="str"/>
      <x:c r="I45" s="84" t="str"/>
      <x:c r="J45" s="88" t="str">
        <x:v>10.48550/arXiv.2009.05458</x:v>
      </x:c>
      <x:c r="K45" s="88" t="str">
        <x:v>https://arxiv.org/abs/2009.05458</x:v>
      </x:c>
      <x:c r="L45" s="88" t="str">
        <x:v>2009.05458</x:v>
      </x:c>
      <x:c r="M45" s="84" t="str">
        <x:v>Proposes measuring fast-oscillating-field frequency with a single-qubit sensor by using a stable classical clock and phase correlations between successive measurements, while integrating dynamical decoupling to suppress slow environmental noise.</x:v>
      </x:c>
      <x:c r="N45" s="84" t="str">
        <x:v>Good bridge to superconducting qubit ideas: repeated qubit-sensor interrogations plus clocked phase correlations rather than relying on one long coherent probe evolution.</x:v>
      </x:c>
      <x:c r="O45" s="84" t="str"/>
      <x:c r="P45" s="84" t="str">
        <x:v>/Users/asafsolonnikov/.research-assistant/research.db :: project=power-narrowing-spectroscopy</x:v>
      </x:c>
      <x:c r="Q45" s="84" t="str">
        <x:v>49</x:v>
      </x:c>
      <x:c r="R45" s="84" t="str"/>
      <x:c r="S45" s="84" t="str">
        <x:v>original source record</x:v>
      </x:c>
    </x:row>
    <x:row r="46" ht="78" customHeight="1">
      <x:c r="A46" s="82" t="str">
        <x:v>PN-042</x:v>
      </x:c>
      <x:c r="B46" s="84" t="str">
        <x:v>Achieving the ultimate precision limit in quantum NMR spectroscopy</x:v>
      </x:c>
      <x:c r="C46" s="87" t="n">
        <x:v>2019</x:v>
      </x:c>
      <x:c r="D46" s="84" t="str"/>
      <x:c r="E46" s="84" t="str">
        <x:v>arXiv</x:v>
      </x:c>
      <x:c r="F46" s="84" t="str"/>
      <x:c r="G46" s="84" t="str"/>
      <x:c r="H46" s="84" t="str"/>
      <x:c r="I46" s="84" t="str"/>
      <x:c r="J46" s="88" t="str">
        <x:v>10.48550/arXiv.1912.09062</x:v>
      </x:c>
      <x:c r="K46" s="88" t="str">
        <x:v>https://arxiv.org/abs/1912.09062</x:v>
      </x:c>
      <x:c r="L46" s="88" t="str">
        <x:v>1912.09062</x:v>
      </x:c>
      <x:c r="M46" s="84" t="str">
        <x:v>Shows that the ultimate precision limit for estimating the Larmor frequency of unentangled spins can still be reached in quantum nano-NMR spectroscopy despite practical limitations of weak external probes, using appropriate control and measurement.</x:v>
      </x:c>
      <x:c r="N46" s="84" t="str">
        <x:v>Useful limit paper for discussing what spectroscopy can recover with optimized control/measurement even when direct addressing/readout assumptions fail.</x:v>
      </x:c>
      <x:c r="O46" s="84" t="str"/>
      <x:c r="P46" s="84" t="str">
        <x:v>/Users/asafsolonnikov/.research-assistant/research.db :: project=power-narrowing-spectroscopy</x:v>
      </x:c>
      <x:c r="Q46" s="84" t="str">
        <x:v>50</x:v>
      </x:c>
      <x:c r="R46" s="84" t="str"/>
      <x:c r="S46" s="84" t="str">
        <x:v>original source record</x:v>
      </x:c>
    </x:row>
    <x:row r="47" ht="78" customHeight="1">
      <x:c r="A47" s="82" t="str">
        <x:v>PN-043</x:v>
      </x:c>
      <x:c r="B47" s="84" t="str">
        <x:v>Experimental verification of the inertial theorem control protocols</x:v>
      </x:c>
      <x:c r="C47" s="87" t="n">
        <x:v>2019</x:v>
      </x:c>
      <x:c r="D47" s="84" t="str"/>
      <x:c r="E47" s="84" t="str">
        <x:v>arXiv / New Journal of Physics</x:v>
      </x:c>
      <x:c r="F47" s="84" t="str"/>
      <x:c r="G47" s="84" t="str"/>
      <x:c r="H47" s="84" t="str"/>
      <x:c r="I47" s="84" t="str"/>
      <x:c r="J47" s="88" t="str">
        <x:v>10.48550/arXiv.1903.00404</x:v>
      </x:c>
      <x:c r="K47" s="88" t="str">
        <x:v>https://arxiv.org/abs/1903.00404</x:v>
      </x:c>
      <x:c r="L47" s="88" t="str">
        <x:v>1903.00404</x:v>
      </x:c>
      <x:c r="M47" s="84" t="str">
        <x:v>Experimental validation of inertial-theorem control protocols in a trapped Ytterbium ion SU(2) system. The work demonstrates non-adiabatic driven solutions that bridge sudden and adiabatic limits and are stable to small deviations.</x:v>
      </x:c>
      <x:c r="N47" s="84" t="str">
        <x:v>Useful because it translates the inertial/adiabatic-basis idea into a controlled two-level experimental system, closer to qubit spectroscopy than purely formal theory.</x:v>
      </x:c>
      <x:c r="O47" s="84" t="str"/>
      <x:c r="P47" s="84" t="str">
        <x:v>/Users/asafsolonnikov/.research-assistant/research.db :: project=power-narrowing-spectroscopy</x:v>
      </x:c>
      <x:c r="Q47" s="84" t="str">
        <x:v>54</x:v>
      </x:c>
      <x:c r="R47" s="84" t="str"/>
      <x:c r="S47" s="84" t="str">
        <x:v>original source record</x:v>
      </x:c>
    </x:row>
    <x:row r="48" ht="78" customHeight="1">
      <x:c r="A48" s="82" t="str">
        <x:v>PN-044</x:v>
      </x:c>
      <x:c r="B48" s="84" t="str">
        <x:v>Inertial Theorem: Overcoming the Quantum Adiabatic Limit</x:v>
      </x:c>
      <x:c r="C48" s="87" t="n">
        <x:v>2018</x:v>
      </x:c>
      <x:c r="D48" s="84" t="str"/>
      <x:c r="E48" s="84" t="str">
        <x:v>arXiv / Physical Review Research</x:v>
      </x:c>
      <x:c r="F48" s="84" t="str"/>
      <x:c r="G48" s="84" t="str"/>
      <x:c r="H48" s="84" t="str"/>
      <x:c r="I48" s="84" t="str"/>
      <x:c r="J48" s="88" t="str">
        <x:v>10.48550/arXiv.1810.12094</x:v>
      </x:c>
      <x:c r="K48" s="88" t="str">
        <x:v>https://arxiv.org/abs/1810.12094</x:v>
      </x:c>
      <x:c r="L48" s="88" t="str">
        <x:v>1810.12094</x:v>
      </x:c>
      <x:c r="M48" s="84" t="str">
        <x:v>Introduces the inertial theorem for driven quantum systems: stable solutions can remain valid for fast driving when acceleration is slow, extending adiabatic-style reasoning beyond the strict slow-driving limit using Liouville-space eigenoperators and geometric phases.</x:v>
      </x:c>
      <x:c r="N48" s="84" t="str">
        <x:v>Most relevant Kosloff paper for your “adiabatic basis but not necessarily slow” question. Useful conceptual background for describing shaped pulses in a moving/effective basis.</x:v>
      </x:c>
      <x:c r="O48" s="84" t="str"/>
      <x:c r="P48" s="84" t="str">
        <x:v>/Users/asafsolonnikov/.research-assistant/research.db :: project=power-narrowing-spectroscopy</x:v>
      </x:c>
      <x:c r="Q48" s="84" t="str">
        <x:v>53</x:v>
      </x:c>
      <x:c r="R48" s="84" t="str"/>
      <x:c r="S48" s="84" t="str">
        <x:v>original source record</x:v>
      </x:c>
    </x:row>
    <x:row r="49" ht="78" customHeight="1">
      <x:c r="A49" s="82" t="str">
        <x:v>PN-045</x:v>
      </x:c>
      <x:c r="B49" s="84" t="str">
        <x:v>Robust high-fidelity coherent control of two-state systems by detuning pulses</x:v>
      </x:c>
      <x:c r="C49" s="87" t="n">
        <x:v>2018</x:v>
      </x:c>
      <x:c r="D49" s="84" t="str"/>
      <x:c r="E49" s="84" t="str">
        <x:v>arXiv</x:v>
      </x:c>
      <x:c r="F49" s="84" t="str"/>
      <x:c r="G49" s="84" t="str"/>
      <x:c r="H49" s="84" t="str"/>
      <x:c r="I49" s="84" t="str"/>
      <x:c r="J49" s="88" t="str">
        <x:v>10.48550/arXiv.1810.03832</x:v>
      </x:c>
      <x:c r="K49" s="88" t="str">
        <x:v>https://arxiv.org/abs/1810.03832</x:v>
      </x:c>
      <x:c r="L49" s="88" t="str">
        <x:v>1810.03832</x:v>
      </x:c>
      <x:c r="M49" s="84" t="str">
        <x:v>Develops high-fidelity coherent control using sequences of detuning pulses. The detuning pulse areas are used as control parameters, yielding broadband and narrowband transition probability profiles by analogy with composite pulses.</x:v>
      </x:c>
      <x:c r="N49" s="84" t="str">
        <x:v>Useful theory bridge for shaped spectroscopy: narrowband transition profiles controlled through detuning pulses rather than only amplitude envelopes.</x:v>
      </x:c>
      <x:c r="O49" s="84" t="str"/>
      <x:c r="P49" s="84" t="str">
        <x:v>/Users/asafsolonnikov/.research-assistant/research.db :: project=power-narrowing-spectroscopy</x:v>
      </x:c>
      <x:c r="Q49" s="84" t="str">
        <x:v>29</x:v>
      </x:c>
      <x:c r="R49" s="84" t="str"/>
      <x:c r="S49" s="84" t="str">
        <x:v>original source record</x:v>
      </x:c>
    </x:row>
    <x:row r="50" ht="78" customHeight="1">
      <x:c r="A50" s="82" t="str">
        <x:v>PN-046</x:v>
      </x:c>
      <x:c r="B50" s="84" t="str">
        <x:v>Time Dependent Markovian Quantum Master Equation</x:v>
      </x:c>
      <x:c r="C50" s="87" t="n">
        <x:v>2018</x:v>
      </x:c>
      <x:c r="D50" s="84" t="str"/>
      <x:c r="E50" s="84" t="str">
        <x:v>arXiv / Physical Review A</x:v>
      </x:c>
      <x:c r="F50" s="84" t="str"/>
      <x:c r="G50" s="84" t="str"/>
      <x:c r="H50" s="84" t="str"/>
      <x:c r="I50" s="84" t="str"/>
      <x:c r="J50" s="88" t="str">
        <x:v>10.48550/arXiv.1805.10689</x:v>
      </x:c>
      <x:c r="K50" s="88" t="str">
        <x:v>https://arxiv.org/abs/1805.10689</x:v>
      </x:c>
      <x:c r="L50" s="88" t="str">
        <x:v>1805.10689</x:v>
      </x:c>
      <x:c r="M50" s="84" t="str">
        <x:v>Constructs a Markovian master equation for externally driven open quantum systems using an explicit propagator solution. The resulting non-adiabatic master equation extends validity beyond the adiabatic limit and couples populations and coherences.</x:v>
      </x:c>
      <x:c r="N50" s="84" t="str">
        <x:v>Relevant if your shaped spectroscopy pulses need an open-system description where the drive modifies the effective basis and population/coherence dynamics.</x:v>
      </x:c>
      <x:c r="O50" s="84" t="str"/>
      <x:c r="P50" s="84" t="str">
        <x:v>/Users/asafsolonnikov/.research-assistant/research.db :: project=power-narrowing-spectroscopy</x:v>
      </x:c>
      <x:c r="Q50" s="84" t="str">
        <x:v>55</x:v>
      </x:c>
      <x:c r="R50" s="84" t="str"/>
      <x:c r="S50" s="84" t="str">
        <x:v>original source record</x:v>
      </x:c>
    </x:row>
    <x:row r="51" ht="78" customHeight="1">
      <x:c r="A51" s="82" t="str">
        <x:v>PN-047</x:v>
      </x:c>
      <x:c r="B51" s="84" t="str">
        <x:v>Loschmidt echo for quantum metrology</x:v>
      </x:c>
      <x:c r="C51" s="87" t="n">
        <x:v>2016</x:v>
      </x:c>
      <x:c r="D51" s="84" t="str"/>
      <x:c r="E51" s="84" t="str">
        <x:v>Physical Review A</x:v>
      </x:c>
      <x:c r="F51" s="84" t="str"/>
      <x:c r="G51" s="84" t="str"/>
      <x:c r="H51" s="84" t="str"/>
      <x:c r="I51" s="84" t="str"/>
      <x:c r="J51" s="88" t="str">
        <x:v>10.1103/PhysRevA.94.010102</x:v>
      </x:c>
      <x:c r="K51" s="88" t="str">
        <x:v>https://arxiv.org/abs/1604.04246</x:v>
      </x:c>
      <x:c r="L51" s="88" t="str">
        <x:v>1604.04246</x:v>
      </x:c>
      <x:c r="M51" s="84" t="str">
        <x:v>Proposes a Loschmidt echo protocol for quantum metrology, using forward and reversed dynamics to extract quantum Fisher information and quantify multiparticle entanglement.</x:v>
      </x:c>
      <x:c r="N51" s="84" t="str">
        <x:v>Useful conceptual parallel: time reversal/echo signal as a metrological observable. Not superconducting-specific, but relevant for echo-as-spectroscopy framing.</x:v>
      </x:c>
      <x:c r="O51" s="84" t="str"/>
      <x:c r="P51" s="84" t="str">
        <x:v>/Users/asafsolonnikov/.research-assistant/research.db :: project=power-narrowing-spectroscopy</x:v>
      </x:c>
      <x:c r="Q51" s="84" t="str">
        <x:v>43</x:v>
      </x:c>
      <x:c r="R51" s="84" t="str"/>
      <x:c r="S51" s="84" t="str">
        <x:v>original source record</x:v>
      </x:c>
    </x:row>
    <x:row r="52" ht="78" customHeight="1">
      <x:c r="A52" s="82" t="str">
        <x:v>PN-048</x:v>
      </x:c>
      <x:c r="B52" s="84" t="str">
        <x:v>Quantum spectroscopy of single spins assisted by a classical clock</x:v>
      </x:c>
      <x:c r="C52" s="87" t="n">
        <x:v>2016</x:v>
      </x:c>
      <x:c r="D52" s="84" t="str"/>
      <x:c r="E52" s="84" t="str">
        <x:v>arXiv</x:v>
      </x:c>
      <x:c r="F52" s="84" t="str"/>
      <x:c r="G52" s="84" t="str"/>
      <x:c r="H52" s="84" t="str"/>
      <x:c r="I52" s="84" t="str"/>
      <x:c r="J52" s="88" t="str">
        <x:v>10.48550/arXiv.1612.07225</x:v>
      </x:c>
      <x:c r="K52" s="88" t="str">
        <x:v>https://arxiv.org/abs/1612.07225</x:v>
      </x:c>
      <x:c r="L52" s="88" t="str">
        <x:v>1612.07225</x:v>
      </x:c>
      <x:c r="M52" s="84" t="str">
        <x:v>Develops a correlation spectroscopy technique for quantum signals where performance is limited by target-spin coherence and clock stability rather than by the shorter coherence time of the quantum probe.</x:v>
      </x:c>
      <x:c r="N52" s="84" t="str">
        <x:v>Central fit for T2-limit breaking: explicitly argues that probe coherence need not be the main resolution limit when phase correlations are tracked with a stable clock.</x:v>
      </x:c>
      <x:c r="O52" s="84" t="str"/>
      <x:c r="P52" s="84" t="str">
        <x:v>/Users/asafsolonnikov/.research-assistant/research.db :: project=power-narrowing-spectroscopy</x:v>
      </x:c>
      <x:c r="Q52" s="84" t="str">
        <x:v>47</x:v>
      </x:c>
      <x:c r="R52" s="84" t="str"/>
      <x:c r="S52" s="84" t="str">
        <x:v>original source record</x:v>
      </x:c>
    </x:row>
    <x:row r="53" ht="78" customHeight="1">
      <x:c r="A53" s="82" t="str">
        <x:v>PN-049</x:v>
      </x:c>
      <x:c r="B53" s="84" t="str">
        <x:v>Rotating-frame relaxation as a noise spectrum analyzer of a superconducting qubit undergoing driven evolution</x:v>
      </x:c>
      <x:c r="C53" s="87" t="n">
        <x:v>2015</x:v>
      </x:c>
      <x:c r="D53" s="84" t="str"/>
      <x:c r="E53" s="84" t="str">
        <x:v>Nature Communications / arXiv</x:v>
      </x:c>
      <x:c r="F53" s="84" t="str"/>
      <x:c r="G53" s="84" t="str"/>
      <x:c r="H53" s="84" t="str"/>
      <x:c r="I53" s="84" t="str"/>
      <x:c r="J53" s="88" t="str">
        <x:v>10.1038/ncomms12964</x:v>
      </x:c>
      <x:c r="K53" s="88" t="str">
        <x:v>https://arxiv.org/abs/1508.06436</x:v>
      </x:c>
      <x:c r="L53" s="88" t="str">
        <x:v>1508.06436</x:v>
      </x:c>
      <x:c r="M53" s="84" t="str">
        <x:v>Demonstrates noise spectroscopy of a superconducting flux qubit during driven evolution using rotating-frame relaxation and spin-locking. Complements free-evolution methods and identifies a defect signature in time-domain spin-echo experiments.</x:v>
      </x:c>
      <x:c r="N53" s="84" t="str">
        <x:v>Good fit for your shaped-drive spectroscopy context: spectroscopy during driven evolution, not just free Ramsey/Hahn evolution.</x:v>
      </x:c>
      <x:c r="O53" s="84" t="str"/>
      <x:c r="P53" s="84" t="str">
        <x:v>/Users/asafsolonnikov/.research-assistant/research.db :: project=power-narrowing-spectroscopy</x:v>
      </x:c>
      <x:c r="Q53" s="84" t="str">
        <x:v>46</x:v>
      </x:c>
      <x:c r="R53" s="84" t="str"/>
      <x:c r="S53" s="84" t="str">
        <x:v>original source record</x:v>
      </x:c>
    </x:row>
    <x:row r="54" ht="78" customHeight="1">
      <x:c r="A54" s="82" t="str">
        <x:v>PN-050</x:v>
      </x:c>
      <x:c r="B54" s="84" t="str">
        <x:v>Arbitrarily accurate passband composite pulses for dynamical suppression of amplitude noise</x:v>
      </x:c>
      <x:c r="C54" s="87" t="n">
        <x:v>2013</x:v>
      </x:c>
      <x:c r="D54" s="84" t="str"/>
      <x:c r="E54" s="84" t="str">
        <x:v>arXiv</x:v>
      </x:c>
      <x:c r="F54" s="84" t="str"/>
      <x:c r="G54" s="84" t="str"/>
      <x:c r="H54" s="84" t="str"/>
      <x:c r="I54" s="84" t="str"/>
      <x:c r="J54" s="88" t="str">
        <x:v>10.48550/arXiv.1310.7145</x:v>
      </x:c>
      <x:c r="K54" s="88" t="str">
        <x:v>https://arxiv.org/abs/1310.7145</x:v>
      </x:c>
      <x:c r="L54" s="88" t="str">
        <x:v>1310.7145</x:v>
      </x:c>
      <x:c r="M54" s="84" t="str">
        <x:v>Introduces passband composite pulse sequences built from broadband and narrowband composite sequences. The pulse profiles can be tuned in width and rectangularity, suppress excitation near pulse areas 0 and 2 pi, and suppress deviations from inversion near pi to high order for amplitude-noise robustness.</x:v>
      </x:c>
      <x:c r="N54" s="84" t="str">
        <x:v>Relevant to amplitude robustness and controllable profile width; useful background for framing root-Lorentzian/echo pulse robustness against amplitude variation.</x:v>
      </x:c>
      <x:c r="O54" s="84" t="str"/>
      <x:c r="P54" s="84" t="str">
        <x:v>/Users/asafsolonnikov/.research-assistant/research.db :: project=power-narrowing-spectroscopy</x:v>
      </x:c>
      <x:c r="Q54" s="84" t="str">
        <x:v>30</x:v>
      </x:c>
      <x:c r="R54" s="84" t="str"/>
      <x:c r="S54" s="84" t="str">
        <x:v>original source record</x:v>
      </x:c>
    </x:row>
    <x:row r="55" ht="78" customHeight="1">
      <x:c r="A55" s="82" t="str">
        <x:v>PN-051</x:v>
      </x:c>
      <x:c r="B55" s="84" t="str">
        <x:v>Control of qubits by shaped pulses of finite duration</x:v>
      </x:c>
      <x:c r="C55" s="87" t="n">
        <x:v>2013</x:v>
      </x:c>
      <x:c r="D55" s="84" t="str"/>
      <x:c r="E55" s="84" t="str">
        <x:v>Physical Review A</x:v>
      </x:c>
      <x:c r="F55" s="84" t="str"/>
      <x:c r="G55" s="84" t="str"/>
      <x:c r="H55" s="84" t="str"/>
      <x:c r="I55" s="84" t="str"/>
      <x:c r="J55" s="88" t="str">
        <x:v>10.1103/PhysRevA.88.013402</x:v>
      </x:c>
      <x:c r="K55" s="88" t="str">
        <x:v>https://doi.org/10.1103/PhysRevA.88.013402</x:v>
      </x:c>
      <x:c r="L55" s="88" t="str"/>
      <x:c r="M55" s="84" t="str">
        <x:v>Analyzes qubit control by shaped pulses of finite duration, providing pulse-shape and two-state-system background relevant to excitation profiles, linewidth control, and practical finite-pulse implementations.</x:v>
      </x:c>
      <x:c r="N55" s="84" t="str">
        <x:v>Important cited background for translating power-narrowing pulse-shape ideas into qubit-control language.</x:v>
      </x:c>
      <x:c r="O55" s="84" t="str"/>
      <x:c r="P55" s="84" t="str">
        <x:v>/Users/asafsolonnikov/.research-assistant/research.db :: project=power-narrowing-spectroscopy</x:v>
      </x:c>
      <x:c r="Q55" s="84" t="str">
        <x:v>32</x:v>
      </x:c>
      <x:c r="R55" s="84" t="str"/>
      <x:c r="S55" s="84" t="str">
        <x:v>original source record</x:v>
      </x:c>
    </x:row>
    <x:row r="56" ht="78" customHeight="1">
      <x:c r="A56" s="82" t="str">
        <x:v>PN-052</x:v>
      </x:c>
      <x:c r="B56" s="84" t="str">
        <x:v>Avoiding power broadening in optically detected magnetic resonance of single NV defects for enhanced dc magnetic field sensitivity</x:v>
      </x:c>
      <x:c r="C56" s="87" t="n">
        <x:v>2011</x:v>
      </x:c>
      <x:c r="D56" s="84" t="str"/>
      <x:c r="E56" s="84" t="str">
        <x:v>Physical Review B</x:v>
      </x:c>
      <x:c r="F56" s="84" t="str"/>
      <x:c r="G56" s="84" t="str"/>
      <x:c r="H56" s="84" t="str"/>
      <x:c r="I56" s="84" t="str"/>
      <x:c r="J56" s="88" t="str">
        <x:v>10.1103/PhysRevB.84.195204</x:v>
      </x:c>
      <x:c r="K56" s="88" t="str">
        <x:v>https://doi.org/10.1103/PhysRevB.84.195204</x:v>
      </x:c>
      <x:c r="L56" s="88" t="str"/>
      <x:c r="M56" s="84" t="str">
        <x:v>Shows how avoiding power broadening in optically detected magnetic resonance of single NV centers improves dc magnetic-field sensitivity. Useful as a high-impact example of power broadening as a practical spectroscopy limitation.</x:v>
      </x:c>
      <x:c r="N56" s="84" t="str">
        <x:v>High-citation cited reference. Different platform, but useful for motivation: narrower driven resonance improves metrological/spectroscopic sensitivity.</x:v>
      </x:c>
      <x:c r="O56" s="84" t="str"/>
      <x:c r="P56" s="84" t="str">
        <x:v>/Users/asafsolonnikov/.research-assistant/research.db :: project=power-narrowing-spectroscopy</x:v>
      </x:c>
      <x:c r="Q56" s="84" t="str">
        <x:v>37</x:v>
      </x:c>
      <x:c r="R56" s="84" t="str"/>
      <x:c r="S56" s="84" t="str">
        <x:v>original source record</x:v>
      </x:c>
    </x:row>
    <x:row r="57" ht="78" customHeight="1">
      <x:c r="A57" s="82" t="str">
        <x:v>PN-053</x:v>
      </x:c>
      <x:c r="B57" s="84" t="str">
        <x:v>Dynamical decoupling and noise spectroscopy with a superconducting flux qubit</x:v>
      </x:c>
      <x:c r="C57" s="87" t="n">
        <x:v>2011</x:v>
      </x:c>
      <x:c r="D57" s="84" t="str"/>
      <x:c r="E57" s="84" t="str">
        <x:v>Nature Physics / arXiv</x:v>
      </x:c>
      <x:c r="F57" s="84" t="str"/>
      <x:c r="G57" s="84" t="str"/>
      <x:c r="H57" s="84" t="str"/>
      <x:c r="I57" s="84" t="str"/>
      <x:c r="J57" s="88" t="str">
        <x:v>10.1038/nphys1994</x:v>
      </x:c>
      <x:c r="K57" s="88" t="str">
        <x:v>https://arxiv.org/abs/1101.4707</x:v>
      </x:c>
      <x:c r="L57" s="88" t="str">
        <x:v>1101.4707</x:v>
      </x:c>
      <x:c r="M57" s="84" t="str">
        <x:v>Demonstrates dynamical decoupling and noise spectroscopy with a superconducting flux qubit. CPMG sequences improve coherence and act as filters for reconstructing the environmental noise power spectral density.</x:v>
      </x:c>
      <x:c r="N57" s="84" t="str">
        <x:v>Very relevant hardware-context paper: echo/CPMG as spectroscopy/filtering in superconducting qubits.</x:v>
      </x:c>
      <x:c r="O57" s="84" t="str"/>
      <x:c r="P57" s="84" t="str">
        <x:v>/Users/asafsolonnikov/.research-assistant/research.db :: project=power-narrowing-spectroscopy</x:v>
      </x:c>
      <x:c r="Q57" s="84" t="str">
        <x:v>45</x:v>
      </x:c>
      <x:c r="R57" s="84" t="str"/>
      <x:c r="S57" s="84" t="str">
        <x:v>original source record</x:v>
      </x:c>
    </x:row>
    <x:row r="58" ht="78" customHeight="1">
      <x:c r="A58" s="82" t="str">
        <x:v>PN-054</x:v>
      </x:c>
      <x:c r="B58" s="84" t="str">
        <x:v>Effects of pulse shape on strongly driven two-level systems</x:v>
      </x:c>
      <x:c r="C58" s="87" t="n">
        <x:v>2011</x:v>
      </x:c>
      <x:c r="D58" s="84" t="str"/>
      <x:c r="E58" s="84" t="str">
        <x:v>Physical Review A</x:v>
      </x:c>
      <x:c r="F58" s="84" t="str"/>
      <x:c r="G58" s="84" t="str"/>
      <x:c r="H58" s="84" t="str"/>
      <x:c r="I58" s="84" t="str"/>
      <x:c r="J58" s="88" t="str">
        <x:v>10.1103/PhysRevA.84.063416</x:v>
      </x:c>
      <x:c r="K58" s="88" t="str">
        <x:v>https://doi.org/10.1103/PhysRevA.84.063416</x:v>
      </x:c>
      <x:c r="L58" s="88" t="str"/>
      <x:c r="M58" s="84" t="str">
        <x:v>Studies how pulse shape affects strongly driven two-level systems, giving relevant background for excitation line profiles, sidebands, and deviations from simple rectangular-pulse intuition.</x:v>
      </x:c>
      <x:c r="N58" s="84" t="str">
        <x:v>Important cited background for comparing rectangular, Gaussian, Lorentzian, and other shaped pulses under strong drive.</x:v>
      </x:c>
      <x:c r="O58" s="84" t="str"/>
      <x:c r="P58" s="84" t="str">
        <x:v>/Users/asafsolonnikov/.research-assistant/research.db :: project=power-narrowing-spectroscopy</x:v>
      </x:c>
      <x:c r="Q58" s="84" t="str">
        <x:v>34</x:v>
      </x:c>
      <x:c r="R58" s="84" t="str"/>
      <x:c r="S58" s="84" t="str">
        <x:v>original source record</x:v>
      </x:c>
    </x:row>
    <x:row r="59" ht="78" customHeight="1">
      <x:c r="A59" s="82" t="str">
        <x:v>PN-055</x:v>
      </x:c>
      <x:c r="B59" s="84" t="str">
        <x:v>Trace Isotope Detection Enhanced by Coherent Elimination of Power Broadening</x:v>
      </x:c>
      <x:c r="C59" s="87" t="n">
        <x:v>2006</x:v>
      </x:c>
      <x:c r="D59" s="84" t="str"/>
      <x:c r="E59" s="84" t="str">
        <x:v>Physical Review Letters</x:v>
      </x:c>
      <x:c r="F59" s="84" t="str"/>
      <x:c r="G59" s="84" t="str"/>
      <x:c r="H59" s="84" t="str"/>
      <x:c r="I59" s="84" t="str"/>
      <x:c r="J59" s="88" t="str">
        <x:v>10.1103/PhysRevLett.97.243004</x:v>
      </x:c>
      <x:c r="K59" s="88" t="str">
        <x:v>https://doi.org/10.1103/PhysRevLett.97.243004</x:v>
      </x:c>
      <x:c r="L59" s="88" t="str"/>
      <x:c r="M59" s="84" t="str">
        <x:v>Demonstrates a spectroscopy approach where coherent effects eliminate power broadening, improving trace isotope detection. Relevant as a prior strategy for high-resolution spectroscopy under stronger driving.</x:v>
      </x:c>
      <x:c r="N59" s="84" t="str">
        <x:v>Important cited comparison point: power broadening can be eliminated by coherent spectroscopy mechanisms, separate from Lorentzian-pulse power narrowing.</x:v>
      </x:c>
      <x:c r="O59" s="84" t="str"/>
      <x:c r="P59" s="84" t="str">
        <x:v>/Users/asafsolonnikov/.research-assistant/research.db :: project=power-narrowing-spectroscopy</x:v>
      </x:c>
      <x:c r="Q59" s="84" t="str">
        <x:v>35</x:v>
      </x:c>
      <x:c r="R59" s="84" t="str"/>
      <x:c r="S59" s="84" t="str">
        <x:v>original source record</x:v>
      </x:c>
    </x:row>
    <x:row r="60" ht="78" customHeight="1">
      <x:c r="A60" s="82" t="str">
        <x:v>PN-056</x:v>
      </x:c>
      <x:c r="B60" s="84" t="str">
        <x:v>Fluorescence microscopy with diffraction resolution barrier broken by stimulated emission</x:v>
      </x:c>
      <x:c r="C60" s="87" t="n">
        <x:v>2000</x:v>
      </x:c>
      <x:c r="D60" s="84" t="str"/>
      <x:c r="E60" s="84" t="str">
        <x:v>Proceedings of the National Academy of Sciences</x:v>
      </x:c>
      <x:c r="F60" s="84" t="str"/>
      <x:c r="G60" s="84" t="str"/>
      <x:c r="H60" s="84" t="str"/>
      <x:c r="I60" s="84" t="str"/>
      <x:c r="J60" s="88" t="str">
        <x:v>10.1073/PNAS.97.15.8206</x:v>
      </x:c>
      <x:c r="K60" s="88" t="str">
        <x:v>https://doi.org/10.1073/PNAS.97.15.8206</x:v>
      </x:c>
      <x:c r="L60" s="88" t="str"/>
      <x:c r="M60" s="84" t="str">
        <x:v>Experimental demonstration of STED fluorescence microscopy breaking the diffraction resolution barrier by stimulated emission depletion.</x:v>
      </x:c>
      <x:c r="N60" s="84" t="str">
        <x:v>Canonical STED demonstration. Useful as an analogy for engineered depletion/suppression around a narrow surviving response.</x:v>
      </x:c>
      <x:c r="O60" s="84" t="str"/>
      <x:c r="P60" s="84" t="str">
        <x:v>/Users/asafsolonnikov/.research-assistant/research.db :: project=power-narrowing-spectroscopy</x:v>
      </x:c>
      <x:c r="Q60" s="84" t="str">
        <x:v>42</x:v>
      </x:c>
      <x:c r="R60" s="84" t="str"/>
      <x:c r="S60" s="84" t="str">
        <x:v>original source record</x:v>
      </x:c>
    </x:row>
    <x:row r="61" ht="78" customHeight="1">
      <x:c r="A61" s="82" t="str">
        <x:v>PN-057</x:v>
      </x:c>
      <x:c r="B61" s="84" t="str">
        <x:v>The Principles of Quantum Mechanics</x:v>
      </x:c>
      <x:c r="C61" s="87" t="n">
        <x:v>1981</x:v>
      </x:c>
      <x:c r="D61" s="84" t="str"/>
      <x:c r="E61" s="84" t="str">
        <x:v>Clarendon Press</x:v>
      </x:c>
      <x:c r="F61" s="84" t="str">
        <x:v>Clarendon Press</x:v>
      </x:c>
      <x:c r="G61" s="84" t="str"/>
      <x:c r="H61" s="84" t="str"/>
      <x:c r="I61" s="84" t="str"/>
      <x:c r="J61" s="88" t="str"/>
      <x:c r="K61" s="88" t="str"/>
      <x:c r="L61" s="88" t="str"/>
      <x:c r="M61" s="84" t="str"/>
      <x:c r="N61" s="84" t="str"/>
      <x:c r="O61" s="84" t="str"/>
      <x:c r="P61" s="84" t="str">
        <x:v>/Users/asafsolonnikov/Developer/amplitude-robust-spectroscopy/paper/references.bib</x:v>
      </x:c>
      <x:c r="Q61" s="84" t="str"/>
      <x:c r="R61" s="84" t="str">
        <x:v>dirac</x:v>
      </x:c>
      <x:c r="S61" s="84" t="str">
        <x:v>original source record</x:v>
      </x:c>
    </x:row>
    <x:row r="62" ht="78" customHeight="1">
      <x:c r="A62" s="82" t="str">
        <x:v>PN-058</x:v>
      </x:c>
      <x:c r="B62" s="84" t="str">
        <x:v>Fundamental Algorithms</x:v>
      </x:c>
      <x:c r="C62" s="87" t="n">
        <x:v>1973</x:v>
      </x:c>
      <x:c r="D62" s="84" t="str"/>
      <x:c r="E62" s="84" t="str">
        <x:v>Addison-Wesley</x:v>
      </x:c>
      <x:c r="F62" s="84" t="str">
        <x:v>Addison-Wesley</x:v>
      </x:c>
      <x:c r="G62" s="84" t="str"/>
      <x:c r="H62" s="84" t="str"/>
      <x:c r="I62" s="84" t="str"/>
      <x:c r="J62" s="88" t="str"/>
      <x:c r="K62" s="88" t="str"/>
      <x:c r="L62" s="88" t="str"/>
      <x:c r="M62" s="84" t="str"/>
      <x:c r="N62" s="84" t="str"/>
      <x:c r="O62" s="84" t="str"/>
      <x:c r="P62" s="84" t="str">
        <x:v>/Users/asafsolonnikov/Developer/amplitude-robust-spectroscopy/paper/references.bib</x:v>
      </x:c>
      <x:c r="Q62" s="84" t="str"/>
      <x:c r="R62" s="84" t="str">
        <x:v>knuth-fa</x:v>
      </x:c>
      <x:c r="S62" s="84" t="str">
        <x:v>original source record</x:v>
      </x:c>
    </x:row>
    <x:row r="63" ht="78" customHeight="1">
      <x:c r="A63" s="82" t="str">
        <x:v>PN-059</x:v>
      </x:c>
      <x:c r="B63" s="84" t="str">
        <x:v>Observation of a Photon Echo</x:v>
      </x:c>
      <x:c r="C63" s="87" t="n">
        <x:v>1964</x:v>
      </x:c>
      <x:c r="D63" s="84" t="str"/>
      <x:c r="E63" s="84" t="str">
        <x:v>Physical Review Letters</x:v>
      </x:c>
      <x:c r="F63" s="84" t="str"/>
      <x:c r="G63" s="84" t="str"/>
      <x:c r="H63" s="84" t="str"/>
      <x:c r="I63" s="84" t="str"/>
      <x:c r="J63" s="88" t="str">
        <x:v>10.1103/PhysRevLett.13.567</x:v>
      </x:c>
      <x:c r="K63" s="88" t="str">
        <x:v>https://doi.org/10.1103/PhysRevLett.13.567</x:v>
      </x:c>
      <x:c r="L63" s="88" t="str"/>
      <x:c r="M63" s="84" t="str">
        <x:v>First observation of a photon echo, demonstrating optical-frequency rephasing analogous to spin echo in an inhomogeneously broadened transition.</x:v>
      </x:c>
      <x:c r="N63" s="84" t="str">
        <x:v>Good historical bridge from spin echo to spectroscopy: echo refocusing as a way to recover narrow coherent response from inhomogeneous broadening.</x:v>
      </x:c>
      <x:c r="O63" s="84" t="str"/>
      <x:c r="P63" s="84" t="str">
        <x:v>/Users/asafsolonnikov/.research-assistant/research.db :: project=power-narrowing-spectroscopy</x:v>
      </x:c>
      <x:c r="Q63" s="84" t="str">
        <x:v>40</x:v>
      </x:c>
      <x:c r="R63" s="84" t="str"/>
      <x:c r="S63" s="84" t="str">
        <x:v>original source record</x:v>
      </x:c>
    </x:row>
    <x:row r="64" ht="78" customHeight="1">
      <x:c r="A64" s="82" t="str">
        <x:v>PN-060</x:v>
      </x:c>
      <x:c r="B64" s="84" t="str">
        <x:v>Effects of Diffusion on Free Precession in Nuclear Magnetic Resonance Experiments</x:v>
      </x:c>
      <x:c r="C64" s="87" t="n">
        <x:v>1954</x:v>
      </x:c>
      <x:c r="D64" s="84" t="str"/>
      <x:c r="E64" s="84" t="str">
        <x:v>Physical Review</x:v>
      </x:c>
      <x:c r="F64" s="84" t="str"/>
      <x:c r="G64" s="84" t="str"/>
      <x:c r="H64" s="84" t="str"/>
      <x:c r="I64" s="84" t="str"/>
      <x:c r="J64" s="88" t="str">
        <x:v>10.1103/PhysRev.94.630</x:v>
      </x:c>
      <x:c r="K64" s="88" t="str">
        <x:v>https://doi.org/10.1103/PhysRev.94.630</x:v>
      </x:c>
      <x:c r="L64" s="88" t="str"/>
      <x:c r="M64" s="84" t="str">
        <x:v>Classic Carr-Purcell echo paper extending spin-echo refocusing with repeated pulses, forming the basis for CPMG-style sequences and many later dynamical-decoupling spectroscopy methods.</x:v>
      </x:c>
      <x:c r="N64" s="84" t="str">
        <x:v>Background for echo trains and filter-function/noise-spectroscopy thinking; useful if your method is framed against echo or CPMG style refocusing.</x:v>
      </x:c>
      <x:c r="O64" s="84" t="str"/>
      <x:c r="P64" s="84" t="str">
        <x:v>/Users/asafsolonnikov/.research-assistant/research.db :: project=power-narrowing-spectroscopy</x:v>
      </x:c>
      <x:c r="Q64" s="84" t="str">
        <x:v>39</x:v>
      </x:c>
      <x:c r="R64" s="84" t="str"/>
      <x:c r="S64" s="84" t="str">
        <x:v>original source record</x:v>
      </x:c>
    </x:row>
    <x:row r="65" ht="78" customHeight="1">
      <x:c r="A65" s="82" t="str">
        <x:v>PN-061</x:v>
      </x:c>
      <x:c r="B65" s="84" t="str">
        <x:v>Spin Echoes</x:v>
      </x:c>
      <x:c r="C65" s="87" t="n">
        <x:v>1950</x:v>
      </x:c>
      <x:c r="D65" s="84" t="str"/>
      <x:c r="E65" s="84" t="str">
        <x:v>Physical Review</x:v>
      </x:c>
      <x:c r="F65" s="84" t="str"/>
      <x:c r="G65" s="84" t="str"/>
      <x:c r="H65" s="84" t="str"/>
      <x:c r="I65" s="84" t="str"/>
      <x:c r="J65" s="88" t="str">
        <x:v>10.1103/PhysRev.80.580</x:v>
      </x:c>
      <x:c r="K65" s="88" t="str">
        <x:v>https://doi.org/10.1103/PhysRev.80.580</x:v>
      </x:c>
      <x:c r="L65" s="88" t="str"/>
      <x:c r="M65" s="84" t="str">
        <x:v>Foundational paper introducing spin echoes: refocusing dephased spin magnetization through pulse sequences, establishing the basic echo idea used throughout magnetic resonance and coherent spectroscopy.</x:v>
      </x:c>
      <x:c r="N65" s="84" t="str">
        <x:v>Foundational echo paper. Useful for explaining the phase-refocusing intuition behind echo-style spectroscopy pulses.</x:v>
      </x:c>
      <x:c r="O65" s="84" t="str"/>
      <x:c r="P65" s="84" t="str">
        <x:v>/Users/asafsolonnikov/.research-assistant/research.db :: project=power-narrowing-spectroscopy</x:v>
      </x:c>
      <x:c r="Q65" s="84" t="str">
        <x:v>38</x:v>
      </x:c>
      <x:c r="R65" s="84" t="str"/>
      <x:c r="S65" s="84" t="str">
        <x:v>original source record</x:v>
      </x:c>
    </x:row>
    <x:row r="66" ht="78" customHeight="1">
      <x:c r="A66" s="82" t="str">
        <x:v>PN-062</x:v>
      </x:c>
      <x:c r="B66" s="84" t="str">
        <x:v>Zur Elektrodynamik bewegter Korper. (German) [On the electrodynamics of moving bodies]</x:v>
      </x:c>
      <x:c r="C66" s="87" t="n">
        <x:v>1905</x:v>
      </x:c>
      <x:c r="D66" s="84" t="str"/>
      <x:c r="E66" s="84" t="str">
        <x:v>Annalen der Physik</x:v>
      </x:c>
      <x:c r="F66" s="84" t="str"/>
      <x:c r="G66" s="84" t="str">
        <x:v>322</x:v>
      </x:c>
      <x:c r="H66" s="84" t="str">
        <x:v>10</x:v>
      </x:c>
      <x:c r="I66" s="84" t="str">
        <x:v>891–921</x:v>
      </x:c>
      <x:c r="J66" s="88" t="str">
        <x:v>10.1002/andp.19053221004</x:v>
      </x:c>
      <x:c r="K66" s="88" t="str">
        <x:v>https://doi.org/10.1002/andp.19053221004</x:v>
      </x:c>
      <x:c r="L66" s="88" t="str"/>
      <x:c r="M66" s="84" t="str"/>
      <x:c r="N66" s="84" t="str"/>
      <x:c r="O66" s="84" t="str"/>
      <x:c r="P66" s="84" t="str">
        <x:v>/Users/asafsolonnikov/Developer/amplitude-robust-spectroscopy/paper/references.bib</x:v>
      </x:c>
      <x:c r="Q66" s="84" t="str"/>
      <x:c r="R66" s="84" t="str">
        <x:v>einstein</x:v>
      </x:c>
      <x:c r="S66" s="84" t="str">
        <x:v>original source record</x:v>
      </x:c>
    </x:row>
    <x:row r="67" ht="78" customHeight="1">
      <x:c r="A67" s="82" t="str">
        <x:v>PN-063</x:v>
      </x:c>
      <x:c r="B67" s="84" t="str">
        <x:v>Knuth: Computers and Typesetting</x:v>
      </x:c>
      <x:c r="C67" s="87"/>
      <x:c r="D67" s="84" t="str"/>
      <x:c r="E67" s="84" t="str"/>
      <x:c r="F67" s="84" t="str"/>
      <x:c r="G67" s="84" t="str"/>
      <x:c r="H67" s="84" t="str"/>
      <x:c r="I67" s="84" t="str"/>
      <x:c r="J67" s="88" t="str"/>
      <x:c r="K67" s="88" t="str">
        <x:v>http://www-cs-faculty.stanford.edu/~uno/abcde.html</x:v>
      </x:c>
      <x:c r="L67" s="88" t="str"/>
      <x:c r="M67" s="84" t="str"/>
      <x:c r="N67" s="84" t="str"/>
      <x:c r="O67" s="84" t="str"/>
      <x:c r="P67" s="84" t="str">
        <x:v>/Users/asafsolonnikov/Developer/amplitude-robust-spectroscopy/paper/references.bib</x:v>
      </x:c>
      <x:c r="Q67" s="84" t="str"/>
      <x:c r="R67" s="84" t="str">
        <x:v>knuthwebsite</x:v>
      </x:c>
      <x:c r="S67" s="84" t="str">
        <x:v>original source record</x:v>
      </x:c>
    </x:row>
  </x:sheetData>
  <x:mergeCells>
    <x:mergeCell ref="A1:S1"/>
    <x:mergeCell ref="A2:S2"/>
  </x:mergeCells>
  <x:pageMargins left="0.7" right="0.7" top="0.75" bottom="0.75" header="0.3" footer="0.3"/>
  <x:tableParts count="1">
    <x:tablePart xmlns:r="http://schemas.openxmlformats.org/officeDocument/2006/relationships" r:id="R46333da8643b40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18" hidden="0" customWidth="1"/>
    <x:col min="4" max="4" width="48" hidden="0" customWidth="1"/>
    <x:col min="5" max="5" width="30" hidden="0" customWidth="1"/>
    <x:col min="6" max="6" width="42" hidden="0" customWidth="1"/>
    <x:col min="7" max="7" width="10" hidden="0" customWidth="1"/>
    <x:col min="8" max="8" width="10" hidden="0" customWidth="1"/>
    <x:col min="9" max="9" width="20" hidden="0" customWidth="1"/>
    <x:col min="10" max="10" width="20" hidden="0" customWidth="1"/>
    <x:col min="11" max="11" width="42" hidden="0" customWidth="1"/>
    <x:col min="12" max="12" width="50" hidden="0" customWidth="1"/>
  </x:cols>
  <x:sheetData>
    <x:row r="1" ht="32" customHeight="1">
      <x:c r="A1" s="3" t="str">
        <x:v>Source Audit</x:v>
      </x:c>
      <x:c r="B1" s="3"/>
      <x:c r="C1" s="3"/>
      <x:c r="D1" s="3"/>
      <x:c r="E1" s="3"/>
      <x:c r="F1" s="3"/>
      <x:c r="G1" s="3"/>
      <x:c r="H1" s="3"/>
      <x:c r="I1" s="3"/>
      <x:c r="J1" s="3"/>
      <x:c r="K1" s="3"/>
      <x:c r="L1" s="3"/>
    </x:row>
    <x:row r="2" ht="30" customHeight="1">
      <x:c r="A2" s="7" t="str">
        <x:v>One row per original source record, including the excluded internal SupplementalMaterial record. This sheet documents consolidation and match decisions.</x:v>
      </x:c>
      <x:c r="B2" s="7"/>
      <x:c r="C2" s="7"/>
      <x:c r="D2" s="7"/>
      <x:c r="E2" s="7"/>
      <x:c r="F2" s="7"/>
      <x:c r="G2" s="7"/>
      <x:c r="H2" s="7"/>
      <x:c r="I2" s="7"/>
      <x:c r="J2" s="7"/>
      <x:c r="K2" s="7"/>
      <x:c r="L2" s="7"/>
    </x:row>
    <x:row r="4" ht="30" customHeight="1">
      <x:c r="A4" s="82" t="str">
        <x:v>Source Type</x:v>
      </x:c>
      <x:c r="B4" s="82" t="str">
        <x:v>Source Location</x:v>
      </x:c>
      <x:c r="C4" s="82" t="str">
        <x:v>Source Record ID</x:v>
      </x:c>
      <x:c r="D4" s="82" t="str">
        <x:v>Original Title</x:v>
      </x:c>
      <x:c r="E4" s="82" t="str">
        <x:v>DOI</x:v>
      </x:c>
      <x:c r="F4" s="82" t="str">
        <x:v>Article URL</x:v>
      </x:c>
      <x:c r="G4" s="82" t="str">
        <x:v>Cited</x:v>
      </x:c>
      <x:c r="H4" s="82" t="str">
        <x:v>Included</x:v>
      </x:c>
      <x:c r="I4" s="82" t="str">
        <x:v>Consolidated Record ID</x:v>
      </x:c>
      <x:c r="J4" s="82" t="str">
        <x:v>Match Method</x:v>
      </x:c>
      <x:c r="K4" s="82" t="str">
        <x:v>Exclusion Reason</x:v>
      </x:c>
      <x:c r="L4" s="82" t="str">
        <x:v>Local PDF Path(s)</x:v>
      </x:c>
    </x:row>
    <x:row r="5" ht="54" customHeight="1">
      <x:c r="A5" s="84" t="str">
        <x:v>Active bibliography</x:v>
      </x:c>
      <x:c r="B5" s="84" t="str">
        <x:v>/Users/asafsolonnikov/Developer/amplitude-robust-spectroscopy/paper/references.bib</x:v>
      </x:c>
      <x:c r="C5" s="84" t="str">
        <x:v>SupplementalMaterial</x:v>
      </x:c>
      <x:c r="D5" s="84" t="str"/>
      <x:c r="E5" s="88" t="str"/>
      <x:c r="F5" s="88" t="str"/>
      <x:c r="G5" s="89" t="str">
        <x:v>Yes</x:v>
      </x:c>
      <x:c r="H5" s="89" t="str">
        <x:v>No</x:v>
      </x:c>
      <x:c r="I5" s="84" t="str"/>
      <x:c r="J5" s="84" t="str">
        <x:v>Excluded</x:v>
      </x:c>
      <x:c r="K5" s="84" t="str">
        <x:v>Internal supplemental-material record; not a paper</x:v>
      </x:c>
      <x:c r="L5" s="84" t="str"/>
    </x:row>
    <x:row r="6" ht="54" customHeight="1">
      <x:c r="A6" s="84" t="str">
        <x:v>Active bibliography</x:v>
      </x:c>
      <x:c r="B6" s="84" t="str">
        <x:v>/Users/asafsolonnikov/Developer/amplitude-robust-spectroscopy/paper/references.bib</x:v>
      </x:c>
      <x:c r="C6" s="84" t="str">
        <x:v>einstein</x:v>
      </x:c>
      <x:c r="D6" s="84" t="str">
        <x:v>Zur Elektrodynamik bewegter Korper. (German) [On the electrodynamics of moving bodies]</x:v>
      </x:c>
      <x:c r="E6" s="88" t="str">
        <x:v>10.1002/andp.19053221004</x:v>
      </x:c>
      <x:c r="F6" s="88" t="str"/>
      <x:c r="G6" s="89" t="str">
        <x:v>No</x:v>
      </x:c>
      <x:c r="H6" s="89" t="str">
        <x:v>Yes</x:v>
      </x:c>
      <x:c r="I6" s="84" t="str">
        <x:v>PN-062</x:v>
      </x:c>
      <x:c r="J6" s="84" t="str">
        <x:v>new record</x:v>
      </x:c>
      <x:c r="K6" s="84" t="str"/>
      <x:c r="L6" s="84" t="str"/>
    </x:row>
    <x:row r="7" ht="54" customHeight="1">
      <x:c r="A7" s="84" t="str">
        <x:v>Active bibliography</x:v>
      </x:c>
      <x:c r="B7" s="84" t="str">
        <x:v>/Users/asafsolonnikov/Developer/amplitude-robust-spectroscopy/paper/references.bib</x:v>
      </x:c>
      <x:c r="C7" s="84" t="str">
        <x:v>dirac</x:v>
      </x:c>
      <x:c r="D7" s="84" t="str">
        <x:v>The Principles of Quantum Mechanics</x:v>
      </x:c>
      <x:c r="E7" s="88" t="str"/>
      <x:c r="F7" s="88" t="str"/>
      <x:c r="G7" s="89" t="str">
        <x:v>No</x:v>
      </x:c>
      <x:c r="H7" s="89" t="str">
        <x:v>Yes</x:v>
      </x:c>
      <x:c r="I7" s="84" t="str">
        <x:v>PN-057</x:v>
      </x:c>
      <x:c r="J7" s="84" t="str">
        <x:v>new record</x:v>
      </x:c>
      <x:c r="K7" s="84" t="str"/>
      <x:c r="L7" s="84" t="str"/>
    </x:row>
    <x:row r="8" ht="54" customHeight="1">
      <x:c r="A8" s="84" t="str">
        <x:v>Active bibliography</x:v>
      </x:c>
      <x:c r="B8" s="84" t="str">
        <x:v>/Users/asafsolonnikov/Developer/amplitude-robust-spectroscopy/paper/references.bib</x:v>
      </x:c>
      <x:c r="C8" s="84" t="str">
        <x:v>knuthwebsite</x:v>
      </x:c>
      <x:c r="D8" s="84" t="str">
        <x:v>Knuth: Computers and Typesetting</x:v>
      </x:c>
      <x:c r="E8" s="88" t="str"/>
      <x:c r="F8" s="88" t="str">
        <x:v>http://www-cs-faculty.stanford.edu/~uno/abcde.html</x:v>
      </x:c>
      <x:c r="G8" s="89" t="str">
        <x:v>No</x:v>
      </x:c>
      <x:c r="H8" s="89" t="str">
        <x:v>Yes</x:v>
      </x:c>
      <x:c r="I8" s="84" t="str">
        <x:v>PN-063</x:v>
      </x:c>
      <x:c r="J8" s="84" t="str">
        <x:v>new record</x:v>
      </x:c>
      <x:c r="K8" s="84" t="str"/>
      <x:c r="L8" s="84" t="str"/>
    </x:row>
    <x:row r="9" ht="54" customHeight="1">
      <x:c r="A9" s="84" t="str">
        <x:v>Active bibliography</x:v>
      </x:c>
      <x:c r="B9" s="84" t="str">
        <x:v>/Users/asafsolonnikov/Developer/amplitude-robust-spectroscopy/paper/references.bib</x:v>
      </x:c>
      <x:c r="C9" s="84" t="str">
        <x:v>knuth-fa</x:v>
      </x:c>
      <x:c r="D9" s="84" t="str">
        <x:v>Fundamental Algorithms</x:v>
      </x:c>
      <x:c r="E9" s="88" t="str"/>
      <x:c r="F9" s="88" t="str"/>
      <x:c r="G9" s="89" t="str">
        <x:v>No</x:v>
      </x:c>
      <x:c r="H9" s="89" t="str">
        <x:v>Yes</x:v>
      </x:c>
      <x:c r="I9" s="84" t="str">
        <x:v>PN-058</x:v>
      </x:c>
      <x:c r="J9" s="84" t="str">
        <x:v>new record</x:v>
      </x:c>
      <x:c r="K9" s="84" t="str"/>
      <x:c r="L9" s="84" t="str"/>
    </x:row>
    <x:row r="10" ht="54" customHeight="1">
      <x:c r="A10" s="84" t="str">
        <x:v>Active bibliography</x:v>
      </x:c>
      <x:c r="B10" s="84" t="str">
        <x:v>/Users/asafsolonnikov/Developer/amplitude-robust-spectroscopy/paper/references.bib</x:v>
      </x:c>
      <x:c r="C10" s="84" t="str">
        <x:v>schawlow_infrared_1958</x:v>
      </x:c>
      <x:c r="D10" s="84" t="str">
        <x:v>Infrared and Optical Masers</x:v>
      </x:c>
      <x:c r="E10" s="88" t="str">
        <x:v>10.1103/PhysRev.112.1940</x:v>
      </x:c>
      <x:c r="F10" s="88" t="str">
        <x:v>https://link.aps.org/doi/10.1103/PhysRev.112.1940</x:v>
      </x:c>
      <x:c r="G10" s="89" t="str">
        <x:v>Yes</x:v>
      </x:c>
      <x:c r="H10" s="89" t="str">
        <x:v>Yes</x:v>
      </x:c>
      <x:c r="I10" s="84" t="str">
        <x:v>PN-024</x:v>
      </x:c>
      <x:c r="J10" s="84" t="str">
        <x:v>new record</x:v>
      </x:c>
      <x:c r="K10" s="84" t="str"/>
      <x:c r="L10" s="84" t="str">
        <x:v>/Users/asafsolonnikov/Zotero/storage/HTKBWHAU/Schawlow and Townes - 1958 - Infrared and Optical Masers.pdf</x:v>
      </x:c>
    </x:row>
    <x:row r="11" ht="54" customHeight="1">
      <x:c r="A11" s="84" t="str">
        <x:v>Active bibliography</x:v>
      </x:c>
      <x:c r="B11" s="84" t="str">
        <x:v>/Users/asafsolonnikov/Developer/amplitude-robust-spectroscopy/paper/references.bib</x:v>
      </x:c>
      <x:c r="C11" s="84" t="str">
        <x:v>hell_breaking_1994</x:v>
      </x:c>
      <x:c r="D11" s="84" t="str">
        <x:v>Breaking the diffraction resolution limit by stimulated emission: stimulated-emission-depletion fluorescence microscopy</x:v>
      </x:c>
      <x:c r="E11" s="88" t="str">
        <x:v>10.1364/OL.19.000780</x:v>
      </x:c>
      <x:c r="F11" s="88" t="str">
        <x:v>https://opg.optica.org/ol/abstract.cfm?uri=ol-19-11-780</x:v>
      </x:c>
      <x:c r="G11" s="89" t="str">
        <x:v>Yes</x:v>
      </x:c>
      <x:c r="H11" s="89" t="str">
        <x:v>Yes</x:v>
      </x:c>
      <x:c r="I11" s="84" t="str">
        <x:v>PN-020</x:v>
      </x:c>
      <x:c r="J11" s="84" t="str">
        <x:v>new record</x:v>
      </x:c>
      <x:c r="K11" s="84" t="str"/>
      <x:c r="L11" s="84" t="str"/>
    </x:row>
    <x:row r="12" ht="54" customHeight="1">
      <x:c r="A12" s="84" t="str">
        <x:v>Active bibliography</x:v>
      </x:c>
      <x:c r="B12" s="84" t="str">
        <x:v>/Users/asafsolonnikov/Developer/amplitude-robust-spectroscopy/paper/references.bib</x:v>
      </x:c>
      <x:c r="C12" s="84" t="str">
        <x:v>HELL199419</x:v>
      </x:c>
      <x:c r="D12" s="84" t="str">
        <x:v>Improvement of lateral resolution in far-field fluorescence light microscopy by using two-photon excitation with offset beams</x:v>
      </x:c>
      <x:c r="E12" s="88" t="str">
        <x:v>10.1016/0030-4018(94)90050-7</x:v>
      </x:c>
      <x:c r="F12" s="88" t="str">
        <x:v>https://www.sciencedirect.com/science/article/pii/0030401894900507</x:v>
      </x:c>
      <x:c r="G12" s="89" t="str">
        <x:v>Yes</x:v>
      </x:c>
      <x:c r="H12" s="89" t="str">
        <x:v>Yes</x:v>
      </x:c>
      <x:c r="I12" s="84" t="str">
        <x:v>PN-021</x:v>
      </x:c>
      <x:c r="J12" s="84" t="str">
        <x:v>new record</x:v>
      </x:c>
      <x:c r="K12" s="84" t="str"/>
      <x:c r="L12" s="84" t="str"/>
    </x:row>
    <x:row r="13" ht="54" customHeight="1">
      <x:c r="A13" s="84" t="str">
        <x:v>Active bibliography</x:v>
      </x:c>
      <x:c r="B13" s="84" t="str">
        <x:v>/Users/asafsolonnikov/Developer/amplitude-robust-spectroscopy/paper/references.bib</x:v>
      </x:c>
      <x:c r="C13" s="84" t="str">
        <x:v>PhysRev.70.460</x:v>
      </x:c>
      <x:c r="D13" s="84" t="str">
        <x:v>Nuclear Induction</x:v>
      </x:c>
      <x:c r="E13" s="88" t="str">
        <x:v>10.1103/PhysRev.70.460</x:v>
      </x:c>
      <x:c r="F13" s="88" t="str">
        <x:v>https://link.aps.org/doi/10.1103/PhysRev.70.460</x:v>
      </x:c>
      <x:c r="G13" s="89" t="str">
        <x:v>Yes</x:v>
      </x:c>
      <x:c r="H13" s="89" t="str">
        <x:v>Yes</x:v>
      </x:c>
      <x:c r="I13" s="84" t="str">
        <x:v>PN-026</x:v>
      </x:c>
      <x:c r="J13" s="84" t="str">
        <x:v>new record</x:v>
      </x:c>
      <x:c r="K13" s="84" t="str"/>
      <x:c r="L13" s="84" t="str"/>
    </x:row>
    <x:row r="14" ht="54" customHeight="1">
      <x:c r="A14" s="84" t="str">
        <x:v>Active bibliography</x:v>
      </x:c>
      <x:c r="B14" s="84" t="str">
        <x:v>/Users/asafsolonnikov/Developer/amplitude-robust-spectroscopy/paper/references.bib</x:v>
      </x:c>
      <x:c r="C14" s="84" t="str">
        <x:v>PhysRev.69.37</x:v>
      </x:c>
      <x:c r="D14" s="84" t="str">
        <x:v>Resonance Absorption by Nuclear Magnetic Moments in a Solid</x:v>
      </x:c>
      <x:c r="E14" s="88" t="str">
        <x:v>10.1103/PhysRev.69.37</x:v>
      </x:c>
      <x:c r="F14" s="88" t="str">
        <x:v>https://link.aps.org/doi/10.1103/PhysRev.69.37</x:v>
      </x:c>
      <x:c r="G14" s="89" t="str">
        <x:v>Yes</x:v>
      </x:c>
      <x:c r="H14" s="89" t="str">
        <x:v>Yes</x:v>
      </x:c>
      <x:c r="I14" s="84" t="str">
        <x:v>PN-027</x:v>
      </x:c>
      <x:c r="J14" s="84" t="str">
        <x:v>new record</x:v>
      </x:c>
      <x:c r="K14" s="84" t="str"/>
      <x:c r="L14" s="84" t="str"/>
    </x:row>
    <x:row r="15" ht="54" customHeight="1">
      <x:c r="A15" s="84" t="str">
        <x:v>Active bibliography</x:v>
      </x:c>
      <x:c r="B15" s="84" t="str">
        <x:v>/Users/asafsolonnikov/Developer/amplitude-robust-spectroscopy/paper/references.bib</x:v>
      </x:c>
      <x:c r="C15" s="84" t="str">
        <x:v>PhysRevA.69.062320</x:v>
      </x:c>
      <x:c r="D15" s="84" t="str">
        <x:v>Cavity quantum electrodynamics for superconducting electrical circuits: An architecture for quantum computation</x:v>
      </x:c>
      <x:c r="E15" s="88" t="str">
        <x:v>10.1103/PhysRevA.69.062320</x:v>
      </x:c>
      <x:c r="F15" s="88" t="str">
        <x:v>https://link.aps.org/doi/10.1103/PhysRevA.69.062320</x:v>
      </x:c>
      <x:c r="G15" s="89" t="str">
        <x:v>Yes</x:v>
      </x:c>
      <x:c r="H15" s="89" t="str">
        <x:v>Yes</x:v>
      </x:c>
      <x:c r="I15" s="84" t="str">
        <x:v>PN-015</x:v>
      </x:c>
      <x:c r="J15" s="84" t="str">
        <x:v>new record</x:v>
      </x:c>
      <x:c r="K15" s="84" t="str"/>
      <x:c r="L15" s="84" t="str"/>
    </x:row>
    <x:row r="16" ht="54" customHeight="1">
      <x:c r="A16" s="84" t="str">
        <x:v>Active bibliography</x:v>
      </x:c>
      <x:c r="B16" s="84" t="str">
        <x:v>/Users/asafsolonnikov/Developer/amplitude-robust-spectroscopy/paper/references.bib</x:v>
      </x:c>
      <x:c r="C16" s="84" t="str">
        <x:v>PhysRevA.76.042319</x:v>
      </x:c>
      <x:c r="D16" s="84" t="str">
        <x:v>Charge-insensitive qubit design derived from the Cooper pair box</x:v>
      </x:c>
      <x:c r="E16" s="88" t="str">
        <x:v>10.1103/PhysRevA.76.042319</x:v>
      </x:c>
      <x:c r="F16" s="88" t="str">
        <x:v>https://link.aps.org/doi/10.1103/PhysRevA.76.042319</x:v>
      </x:c>
      <x:c r="G16" s="89" t="str">
        <x:v>Yes</x:v>
      </x:c>
      <x:c r="H16" s="89" t="str">
        <x:v>Yes</x:v>
      </x:c>
      <x:c r="I16" s="84" t="str">
        <x:v>PN-013</x:v>
      </x:c>
      <x:c r="J16" s="84" t="str">
        <x:v>new record</x:v>
      </x:c>
      <x:c r="K16" s="84" t="str"/>
      <x:c r="L16" s="84" t="str"/>
    </x:row>
    <x:row r="17" ht="54" customHeight="1">
      <x:c r="A17" s="84" t="str">
        <x:v>Active bibliography</x:v>
      </x:c>
      <x:c r="B17" s="84" t="str">
        <x:v>/Users/asafsolonnikov/Developer/amplitude-robust-spectroscopy/paper/references.bib</x:v>
      </x:c>
      <x:c r="C17" s="84" t="str">
        <x:v>boradjiev_power_2013</x:v>
      </x:c>
      <x:c r="D17" s="84" t="str">
        <x:v>Power narrowing in coherent atomic excitation by smoothly shaped pulsed fields</x:v>
      </x:c>
      <x:c r="E17" s="88" t="str">
        <x:v>10.1016/j.optcom.2012.09.040</x:v>
      </x:c>
      <x:c r="F17" s="88" t="str">
        <x:v>https://www.sciencedirect.com/science/article/pii/S0030401812010486</x:v>
      </x:c>
      <x:c r="G17" s="89" t="str">
        <x:v>Yes</x:v>
      </x:c>
      <x:c r="H17" s="89" t="str">
        <x:v>Yes</x:v>
      </x:c>
      <x:c r="I17" s="84" t="str">
        <x:v>PN-010</x:v>
      </x:c>
      <x:c r="J17" s="84" t="str">
        <x:v>new record</x:v>
      </x:c>
      <x:c r="K17" s="84" t="str"/>
      <x:c r="L17" s="84" t="str">
        <x:v>/Users/asafsolonnikov/Zotero/storage/9BLUSY4S/Boradjiev and Vitanov - 2013 - Power narrowing in coherent atomic excitation by smoothly shaped pulsed fields.pdf</x:v>
      </x:c>
    </x:row>
    <x:row r="18" ht="54" customHeight="1">
      <x:c r="A18" s="84" t="str">
        <x:v>Active bibliography</x:v>
      </x:c>
      <x:c r="B18" s="84" t="str">
        <x:v>/Users/asafsolonnikov/Developer/amplitude-robust-spectroscopy/paper/references.bib</x:v>
      </x:c>
      <x:c r="C18" s="84" t="str">
        <x:v>PhysRevLett.104.053001</x:v>
      </x:c>
      <x:c r="D18" s="84" t="str">
        <x:v>Long-Lived Coherences for Homogeneous Line Narrowing in Spectroscopy</x:v>
      </x:c>
      <x:c r="E18" s="88" t="str">
        <x:v>10.1103/PhysRevLett.104.053001</x:v>
      </x:c>
      <x:c r="F18" s="88" t="str">
        <x:v>https://link.aps.org/doi/10.1103/PhysRevLett.104.053001</x:v>
      </x:c>
      <x:c r="G18" s="89" t="str">
        <x:v>Yes</x:v>
      </x:c>
      <x:c r="H18" s="89" t="str">
        <x:v>Yes</x:v>
      </x:c>
      <x:c r="I18" s="84" t="str">
        <x:v>PN-012</x:v>
      </x:c>
      <x:c r="J18" s="84" t="str">
        <x:v>new record</x:v>
      </x:c>
      <x:c r="K18" s="84" t="str"/>
      <x:c r="L18" s="84" t="str"/>
    </x:row>
    <x:row r="19" ht="54" customHeight="1">
      <x:c r="A19" s="84" t="str">
        <x:v>Active bibliography</x:v>
      </x:c>
      <x:c r="B19" s="84" t="str">
        <x:v>/Users/asafsolonnikov/Developer/amplitude-robust-spectroscopy/paper/references.bib</x:v>
      </x:c>
      <x:c r="C19" s="84" t="str">
        <x:v>Gorin_2006</x:v>
      </x:c>
      <x:c r="D19" s="84" t="str">
        <x:v>Dynamics of Loschmidt echoes and fidelity decay</x:v>
      </x:c>
      <x:c r="E19" s="88" t="str">
        <x:v>10.1016/j.physrep.2006.09.003</x:v>
      </x:c>
      <x:c r="F19" s="88" t="str">
        <x:v>http://dx.doi.org/10.1016/j.physrep.2006.09.003</x:v>
      </x:c>
      <x:c r="G19" s="89" t="str">
        <x:v>Yes</x:v>
      </x:c>
      <x:c r="H19" s="89" t="str">
        <x:v>Yes</x:v>
      </x:c>
      <x:c r="I19" s="84" t="str">
        <x:v>PN-014</x:v>
      </x:c>
      <x:c r="J19" s="84" t="str">
        <x:v>new record</x:v>
      </x:c>
      <x:c r="K19" s="84" t="str"/>
      <x:c r="L19" s="84" t="str"/>
    </x:row>
    <x:row r="20" ht="54" customHeight="1">
      <x:c r="A20" s="84" t="str">
        <x:v>Active bibliography</x:v>
      </x:c>
      <x:c r="B20" s="84" t="str">
        <x:v>/Users/asafsolonnikov/Developer/amplitude-robust-spectroscopy/paper/references.bib</x:v>
      </x:c>
      <x:c r="C20" s="84" t="str">
        <x:v>PhysRevA.30.1610</x:v>
      </x:c>
      <x:c r="D20" s="84" t="str">
        <x:v>Stability of quantum motion in chaotic and regular systems</x:v>
      </x:c>
      <x:c r="E20" s="88" t="str">
        <x:v>10.1103/PhysRevA.30.1610</x:v>
      </x:c>
      <x:c r="F20" s="88" t="str">
        <x:v>https://link.aps.org/doi/10.1103/PhysRevA.30.1610</x:v>
      </x:c>
      <x:c r="G20" s="89" t="str">
        <x:v>Yes</x:v>
      </x:c>
      <x:c r="H20" s="89" t="str">
        <x:v>Yes</x:v>
      </x:c>
      <x:c r="I20" s="84" t="str">
        <x:v>PN-022</x:v>
      </x:c>
      <x:c r="J20" s="84" t="str">
        <x:v>new record</x:v>
      </x:c>
      <x:c r="K20" s="84" t="str"/>
      <x:c r="L20" s="84" t="str"/>
    </x:row>
    <x:row r="21" ht="54" customHeight="1">
      <x:c r="A21" s="84" t="str">
        <x:v>Active bibliography</x:v>
      </x:c>
      <x:c r="B21" s="84" t="str">
        <x:v>/Users/asafsolonnikov/Developer/amplitude-robust-spectroscopy/paper/references.bib</x:v>
      </x:c>
      <x:c r="C21" s="84" t="str">
        <x:v>finkelstein_power_2019</x:v>
      </x:c>
      <x:c r="D21" s="84" t="str">
        <x:v>Power narrowing: counteracting Doppler broadening in two-color transitions</x:v>
      </x:c>
      <x:c r="E21" s="88" t="str">
        <x:v>10.1088/1367-2630/ab4624</x:v>
      </x:c>
      <x:c r="F21" s="88" t="str">
        <x:v>https://doi.org/10.1088/1367-2630/ab4624</x:v>
      </x:c>
      <x:c r="G21" s="89" t="str">
        <x:v>Yes</x:v>
      </x:c>
      <x:c r="H21" s="89" t="str">
        <x:v>Yes</x:v>
      </x:c>
      <x:c r="I21" s="84" t="str">
        <x:v>PN-007</x:v>
      </x:c>
      <x:c r="J21" s="84" t="str">
        <x:v>new record</x:v>
      </x:c>
      <x:c r="K21" s="84" t="str"/>
      <x:c r="L21" s="84" t="str"/>
    </x:row>
    <x:row r="22" ht="54" customHeight="1">
      <x:c r="A22" s="84" t="str">
        <x:v>Active bibliography</x:v>
      </x:c>
      <x:c r="B22" s="84" t="str">
        <x:v>/Users/asafsolonnikov/Developer/amplitude-robust-spectroscopy/paper/references.bib</x:v>
      </x:c>
      <x:c r="C22" s="84" t="str">
        <x:v>PhysRevLett.122.060503</x:v>
      </x:c>
      <x:c r="D22" s="84" t="str">
        <x:v>Limits on Spectral Resolution Measurements by Quantum Probes</x:v>
      </x:c>
      <x:c r="E22" s="88" t="str">
        <x:v>10.1103/PhysRevLett.122.060503</x:v>
      </x:c>
      <x:c r="F22" s="88" t="str">
        <x:v>https://link.aps.org/doi/10.1103/PhysRevLett.122.060503</x:v>
      </x:c>
      <x:c r="G22" s="89" t="str">
        <x:v>Yes</x:v>
      </x:c>
      <x:c r="H22" s="89" t="str">
        <x:v>Yes</x:v>
      </x:c>
      <x:c r="I22" s="84" t="str">
        <x:v>PN-005</x:v>
      </x:c>
      <x:c r="J22" s="84" t="str">
        <x:v>new record</x:v>
      </x:c>
      <x:c r="K22" s="84" t="str"/>
      <x:c r="L22" s="84" t="str"/>
    </x:row>
    <x:row r="23" ht="54" customHeight="1">
      <x:c r="A23" s="84" t="str">
        <x:v>Active bibliography</x:v>
      </x:c>
      <x:c r="B23" s="84" t="str">
        <x:v>/Users/asafsolonnikov/Developer/amplitude-robust-spectroscopy/paper/references.bib</x:v>
      </x:c>
      <x:c r="C23" s="84" t="str">
        <x:v>retzker_2</x:v>
      </x:c>
      <x:c r="D23" s="84" t="str">
        <x:v>Overcoming resolution limits with quantum sensing</x:v>
      </x:c>
      <x:c r="E23" s="88" t="str">
        <x:v>10.1038/s41467-019-12817-y</x:v>
      </x:c>
      <x:c r="F23" s="88" t="str">
        <x:v>https://doi.org/10.1038/s41467-019-12817-y</x:v>
      </x:c>
      <x:c r="G23" s="89" t="str">
        <x:v>Yes</x:v>
      </x:c>
      <x:c r="H23" s="89" t="str">
        <x:v>Yes</x:v>
      </x:c>
      <x:c r="I23" s="84" t="str">
        <x:v>PN-006</x:v>
      </x:c>
      <x:c r="J23" s="84" t="str">
        <x:v>new record</x:v>
      </x:c>
      <x:c r="K23" s="84" t="str"/>
      <x:c r="L23" s="84" t="str"/>
    </x:row>
    <x:row r="24" ht="54" customHeight="1">
      <x:c r="A24" s="84" t="str">
        <x:v>Active bibliography</x:v>
      </x:c>
      <x:c r="B24" s="84" t="str">
        <x:v>/Users/asafsolonnikov/Developer/amplitude-robust-spectroscopy/paper/references.bib</x:v>
      </x:c>
      <x:c r="C24" s="84" t="str">
        <x:v>Cao_2025</x:v>
      </x:c>
      <x:c r="D24" s="84" t="str">
        <x:v>Overcoming Frequency Resolution Limits Using a Solid-State Spin Quantum Sensor</x:v>
      </x:c>
      <x:c r="E24" s="88" t="str">
        <x:v>10.1103/llfg-s4rr</x:v>
      </x:c>
      <x:c r="F24" s="88" t="str">
        <x:v>http://dx.doi.org/10.1103/llfg-s4rr</x:v>
      </x:c>
      <x:c r="G24" s="89" t="str">
        <x:v>Yes</x:v>
      </x:c>
      <x:c r="H24" s="89" t="str">
        <x:v>Yes</x:v>
      </x:c>
      <x:c r="I24" s="84" t="str">
        <x:v>PN-001</x:v>
      </x:c>
      <x:c r="J24" s="84" t="str">
        <x:v>new record</x:v>
      </x:c>
      <x:c r="K24" s="84" t="str"/>
      <x:c r="L24" s="84" t="str"/>
    </x:row>
    <x:row r="25" ht="54" customHeight="1">
      <x:c r="A25" s="84" t="str">
        <x:v>Active bibliography</x:v>
      </x:c>
      <x:c r="B25" s="84" t="str">
        <x:v>/Users/asafsolonnikov/Developer/amplitude-robust-spectroscopy/paper/references.bib</x:v>
      </x:c>
      <x:c r="C25" s="84" t="str">
        <x:v>wang_coherent_2019</x:v>
      </x:c>
      <x:c r="D25" s="84" t="str">
        <x:v>Coherent control of a hybrid superconducting circuit made with graphene-based van der Waals heterostructures</x:v>
      </x:c>
      <x:c r="E25" s="88" t="str">
        <x:v>10.1038/s41565-018-0329-2</x:v>
      </x:c>
      <x:c r="F25" s="88" t="str">
        <x:v>https://doi.org/10.1038/s41565-018-0329-2</x:v>
      </x:c>
      <x:c r="G25" s="89" t="str">
        <x:v>Yes</x:v>
      </x:c>
      <x:c r="H25" s="89" t="str">
        <x:v>Yes</x:v>
      </x:c>
      <x:c r="I25" s="84" t="str">
        <x:v>PN-003</x:v>
      </x:c>
      <x:c r="J25" s="84" t="str">
        <x:v>new record</x:v>
      </x:c>
      <x:c r="K25" s="84" t="str"/>
      <x:c r="L25" s="84" t="str"/>
    </x:row>
    <x:row r="26" ht="54" customHeight="1">
      <x:c r="A26" s="84" t="str">
        <x:v>Active bibliography</x:v>
      </x:c>
      <x:c r="B26" s="84" t="str">
        <x:v>/Users/asafsolonnikov/Developer/amplitude-robust-spectroscopy/paper/references.bib</x:v>
      </x:c>
      <x:c r="C26" s="84" t="str">
        <x:v>PhysRevLett.107.240501</x:v>
      </x:c>
      <x:c r="D26" s="84" t="str">
        <x:v>Observation of High Coherence in Josephson Junction Qubits Measured in a Three-Dimensional Circuit QED Architecture</x:v>
      </x:c>
      <x:c r="E26" s="88" t="str">
        <x:v>10.1103/PhysRevLett.107.240501</x:v>
      </x:c>
      <x:c r="F26" s="88" t="str">
        <x:v>https://link.aps.org/doi/10.1103/PhysRevLett.107.240501</x:v>
      </x:c>
      <x:c r="G26" s="89" t="str">
        <x:v>Yes</x:v>
      </x:c>
      <x:c r="H26" s="89" t="str">
        <x:v>Yes</x:v>
      </x:c>
      <x:c r="I26" s="84" t="str">
        <x:v>PN-011</x:v>
      </x:c>
      <x:c r="J26" s="84" t="str">
        <x:v>new record</x:v>
      </x:c>
      <x:c r="K26" s="84" t="str"/>
      <x:c r="L26" s="84" t="str"/>
    </x:row>
    <x:row r="27" ht="54" customHeight="1">
      <x:c r="A27" s="84" t="str">
        <x:v>Active bibliography</x:v>
      </x:c>
      <x:c r="B27" s="84" t="str">
        <x:v>/Users/asafsolonnikov/Developer/amplitude-robust-spectroscopy/paper/references.bib</x:v>
      </x:c>
      <x:c r="C27" s="84" t="str">
        <x:v>PhysRevX.9.041041</x:v>
      </x:c>
      <x:c r="D27" s="84" t="str">
        <x:v>High-Coherence Fluxonium Qubit</x:v>
      </x:c>
      <x:c r="E27" s="88" t="str">
        <x:v>10.1103/PhysRevX.9.041041</x:v>
      </x:c>
      <x:c r="F27" s="88" t="str">
        <x:v>https://link.aps.org/doi/10.1103/PhysRevX.9.041041</x:v>
      </x:c>
      <x:c r="G27" s="89" t="str">
        <x:v>Yes</x:v>
      </x:c>
      <x:c r="H27" s="89" t="str">
        <x:v>Yes</x:v>
      </x:c>
      <x:c r="I27" s="84" t="str">
        <x:v>PN-004</x:v>
      </x:c>
      <x:c r="J27" s="84" t="str">
        <x:v>new record</x:v>
      </x:c>
      <x:c r="K27" s="84" t="str"/>
      <x:c r="L27" s="84" t="str"/>
    </x:row>
    <x:row r="28" ht="54" customHeight="1">
      <x:c r="A28" s="84" t="str">
        <x:v>Active bibliography</x:v>
      </x:c>
      <x:c r="B28" s="84" t="str">
        <x:v>/Users/asafsolonnikov/Developer/amplitude-robust-spectroscopy/paper/references.bib</x:v>
      </x:c>
      <x:c r="C28" s="84" t="str">
        <x:v>spec123</x:v>
      </x:c>
      <x:c r="D28" s="84" t="str">
        <x:v>Enhanced coherence of all-nitride superconducting qubits epitaxially grown on silicon substrate</x:v>
      </x:c>
      <x:c r="E28" s="88" t="str">
        <x:v>10.1038/s43246-021-00204-4</x:v>
      </x:c>
      <x:c r="F28" s="88" t="str">
        <x:v>https://doi.org/10.1038/s43246-021-00204-4</x:v>
      </x:c>
      <x:c r="G28" s="89" t="str">
        <x:v>Yes</x:v>
      </x:c>
      <x:c r="H28" s="89" t="str">
        <x:v>Yes</x:v>
      </x:c>
      <x:c r="I28" s="84" t="str">
        <x:v>PN-002</x:v>
      </x:c>
      <x:c r="J28" s="84" t="str">
        <x:v>new record</x:v>
      </x:c>
      <x:c r="K28" s="84" t="str"/>
      <x:c r="L28" s="84" t="str"/>
    </x:row>
    <x:row r="29" ht="54" customHeight="1">
      <x:c r="A29" s="84" t="str">
        <x:v>Active bibliography</x:v>
      </x:c>
      <x:c r="B29" s="84" t="str">
        <x:v>/Users/asafsolonnikov/Developer/amplitude-robust-spectroscopy/paper/references.bib</x:v>
      </x:c>
      <x:c r="C29" s="84" t="str">
        <x:v>PhysRev.78.695</x:v>
      </x:c>
      <x:c r="D29" s="84" t="str">
        <x:v>A Molecular Beam Resonance Method with Separated Oscillating Fields</x:v>
      </x:c>
      <x:c r="E29" s="88" t="str">
        <x:v>10.1103/PhysRev.78.695</x:v>
      </x:c>
      <x:c r="F29" s="88" t="str">
        <x:v>https://link.aps.org/doi/10.1103/PhysRev.78.695</x:v>
      </x:c>
      <x:c r="G29" s="89" t="str">
        <x:v>Yes</x:v>
      </x:c>
      <x:c r="H29" s="89" t="str">
        <x:v>Yes</x:v>
      </x:c>
      <x:c r="I29" s="84" t="str">
        <x:v>PN-025</x:v>
      </x:c>
      <x:c r="J29" s="84" t="str">
        <x:v>new record</x:v>
      </x:c>
      <x:c r="K29" s="84" t="str"/>
      <x:c r="L29" s="84" t="str"/>
    </x:row>
    <x:row r="30" ht="54" customHeight="1">
      <x:c r="A30" s="84" t="str">
        <x:v>Active bibliography</x:v>
      </x:c>
      <x:c r="B30" s="84" t="str">
        <x:v>/Users/asafsolonnikov/Developer/amplitude-robust-spectroscopy/paper/references.bib</x:v>
      </x:c>
      <x:c r="C30" s="84" t="str">
        <x:v>PhysRevA.98.053424</x:v>
      </x:c>
      <x:c r="D30" s="84" t="str">
        <x:v>ac Stark shifts of dark resonances probed with Ramsey spectroscopy</x:v>
      </x:c>
      <x:c r="E30" s="88" t="str">
        <x:v>10.1103/PhysRevA.98.053424</x:v>
      </x:c>
      <x:c r="F30" s="88" t="str">
        <x:v>https://link.aps.org/doi/10.1103/PhysRevA.98.053424</x:v>
      </x:c>
      <x:c r="G30" s="89" t="str">
        <x:v>Yes</x:v>
      </x:c>
      <x:c r="H30" s="89" t="str">
        <x:v>Yes</x:v>
      </x:c>
      <x:c r="I30" s="84" t="str">
        <x:v>PN-008</x:v>
      </x:c>
      <x:c r="J30" s="84" t="str">
        <x:v>new record</x:v>
      </x:c>
      <x:c r="K30" s="84" t="str"/>
      <x:c r="L30" s="84" t="str"/>
    </x:row>
    <x:row r="31" ht="54" customHeight="1">
      <x:c r="A31" s="84" t="str">
        <x:v>Active bibliography</x:v>
      </x:c>
      <x:c r="B31" s="84" t="str">
        <x:v>/Users/asafsolonnikov/Developer/amplitude-robust-spectroscopy/paper/references.bib</x:v>
      </x:c>
      <x:c r="C31" s="84" t="str">
        <x:v>diamond</x:v>
      </x:c>
      <x:c r="D31" s="84" t="str">
        <x:v>Demonstration of qubit operations below a rigorous fault tolerance threshold with gate set tomography</x:v>
      </x:c>
      <x:c r="E31" s="88" t="str">
        <x:v>10.1038/ncomms14485</x:v>
      </x:c>
      <x:c r="F31" s="88" t="str">
        <x:v>https://doi.org/10.1038/ncomms14485</x:v>
      </x:c>
      <x:c r="G31" s="89" t="str">
        <x:v>Yes</x:v>
      </x:c>
      <x:c r="H31" s="89" t="str">
        <x:v>Yes</x:v>
      </x:c>
      <x:c r="I31" s="84" t="str">
        <x:v>PN-009</x:v>
      </x:c>
      <x:c r="J31" s="84" t="str">
        <x:v>new record</x:v>
      </x:c>
      <x:c r="K31" s="84" t="str"/>
      <x:c r="L31" s="84" t="str"/>
    </x:row>
    <x:row r="32" ht="54" customHeight="1">
      <x:c r="A32" s="84" t="str">
        <x:v>Active bibliography</x:v>
      </x:c>
      <x:c r="B32" s="84" t="str">
        <x:v>/Users/asafsolonnikov/Developer/amplitude-robust-spectroscopy/paper/references.bib</x:v>
      </x:c>
      <x:c r="C32" s="84" t="str">
        <x:v>Zienau_1975</x:v>
      </x:c>
      <x:c r="D32" s="84" t="str">
        <x:v>Optical Resonance and Two Level Atoms</x:v>
      </x:c>
      <x:c r="E32" s="88" t="str">
        <x:v>10.1088/0031-9112/26/12/039</x:v>
      </x:c>
      <x:c r="F32" s="88" t="str">
        <x:v>https://doi.org/10.1088/0031-9112/26/12/039</x:v>
      </x:c>
      <x:c r="G32" s="89" t="str">
        <x:v>Yes</x:v>
      </x:c>
      <x:c r="H32" s="89" t="str">
        <x:v>Yes</x:v>
      </x:c>
      <x:c r="I32" s="84" t="str">
        <x:v>PN-023</x:v>
      </x:c>
      <x:c r="J32" s="84" t="str">
        <x:v>new record</x:v>
      </x:c>
      <x:c r="K32" s="84" t="str"/>
      <x:c r="L32" s="84" t="str"/>
    </x:row>
    <x:row r="33" ht="54" customHeight="1">
      <x:c r="A33" s="84" t="str">
        <x:v>Active bibliography</x:v>
      </x:c>
      <x:c r="B33" s="84" t="str">
        <x:v>/Users/asafsolonnikov/Developer/amplitude-robust-spectroscopy/paper/references.bib</x:v>
      </x:c>
      <x:c r="C33" s="84" t="str">
        <x:v>VITANOV2001117</x:v>
      </x:c>
      <x:c r="D33" s="84" t="str">
        <x:v>Power broadening revisited: theory and experiment</x:v>
      </x:c>
      <x:c r="E33" s="88" t="str">
        <x:v>10.1016/S0030-4018(01)01495-X</x:v>
      </x:c>
      <x:c r="F33" s="88" t="str">
        <x:v>https://www.sciencedirect.com/science/article/pii/S003040180101495X</x:v>
      </x:c>
      <x:c r="G33" s="89" t="str">
        <x:v>Yes</x:v>
      </x:c>
      <x:c r="H33" s="89" t="str">
        <x:v>Yes</x:v>
      </x:c>
      <x:c r="I33" s="84" t="str">
        <x:v>PN-018</x:v>
      </x:c>
      <x:c r="J33" s="84" t="str">
        <x:v>new record</x:v>
      </x:c>
      <x:c r="K33" s="84" t="str"/>
      <x:c r="L33" s="84" t="str"/>
    </x:row>
    <x:row r="34" ht="54" customHeight="1">
      <x:c r="A34" s="84" t="str">
        <x:v>Active bibliography</x:v>
      </x:c>
      <x:c r="B34" s="84" t="str">
        <x:v>/Users/asafsolonnikov/Developer/amplitude-robust-spectroscopy/paper/references.bib</x:v>
      </x:c>
      <x:c r="C34" s="84" t="str">
        <x:v>HALFMANN2003353</x:v>
      </x:c>
      <x:c r="D34" s="84" t="str">
        <x:v>Lineshapes in coherent two-photon excitation</x:v>
      </x:c>
      <x:c r="E34" s="88" t="str">
        <x:v>10.1016/S0030-4018(03)01368-3</x:v>
      </x:c>
      <x:c r="F34" s="88" t="str">
        <x:v>https://www.sciencedirect.com/science/article/pii/S0030401803013683</x:v>
      </x:c>
      <x:c r="G34" s="89" t="str">
        <x:v>Yes</x:v>
      </x:c>
      <x:c r="H34" s="89" t="str">
        <x:v>Yes</x:v>
      </x:c>
      <x:c r="I34" s="84" t="str">
        <x:v>PN-017</x:v>
      </x:c>
      <x:c r="J34" s="84" t="str">
        <x:v>new record</x:v>
      </x:c>
      <x:c r="K34" s="84" t="str"/>
      <x:c r="L34" s="84" t="str"/>
    </x:row>
    <x:row r="35" ht="54" customHeight="1">
      <x:c r="A35" s="84" t="str">
        <x:v>Active bibliography</x:v>
      </x:c>
      <x:c r="B35" s="84" t="str">
        <x:v>/Users/asafsolonnikov/Developer/amplitude-robust-spectroscopy/paper/references.bib</x:v>
      </x:c>
      <x:c r="C35" s="84" t="str">
        <x:v>PhysRevA.70.053407</x:v>
      </x:c>
      <x:c r="D35" s="84" t="str">
        <x:v>Coherent excitation of a two-state system by a Gaussian field</x:v>
      </x:c>
      <x:c r="E35" s="88" t="str">
        <x:v>10.1103/PhysRevA.70.053407</x:v>
      </x:c>
      <x:c r="F35" s="88" t="str">
        <x:v>https://link.aps.org/doi/10.1103/PhysRevA.70.053407</x:v>
      </x:c>
      <x:c r="G35" s="89" t="str">
        <x:v>Yes</x:v>
      </x:c>
      <x:c r="H35" s="89" t="str">
        <x:v>Yes</x:v>
      </x:c>
      <x:c r="I35" s="84" t="str">
        <x:v>PN-016</x:v>
      </x:c>
      <x:c r="J35" s="84" t="str">
        <x:v>new record</x:v>
      </x:c>
      <x:c r="K35" s="84" t="str"/>
      <x:c r="L35" s="84" t="str"/>
    </x:row>
    <x:row r="36" ht="54" customHeight="1">
      <x:c r="A36" s="84" t="str">
        <x:v>Active bibliography</x:v>
      </x:c>
      <x:c r="B36" s="84" t="str">
        <x:v>/Users/asafsolonnikov/Developer/amplitude-robust-spectroscopy/paper/references.bib</x:v>
      </x:c>
      <x:c r="C36" s="84" t="str">
        <x:v>PhysRevA.57.79</x:v>
      </x:c>
      <x:c r="D36" s="84" t="str">
        <x:v>Nonadiabatic transitions in a two-level quantum system: Pulse-shape dependence of the transition probability for a two-level atom driven by a pulsed radiation field</x:v>
      </x:c>
      <x:c r="E36" s="88" t="str">
        <x:v>10.1103/PhysRevA.57.79</x:v>
      </x:c>
      <x:c r="F36" s="88" t="str">
        <x:v>https://link.aps.org/doi/10.1103/PhysRevA.57.79</x:v>
      </x:c>
      <x:c r="G36" s="89" t="str">
        <x:v>Yes</x:v>
      </x:c>
      <x:c r="H36" s="89" t="str">
        <x:v>Yes</x:v>
      </x:c>
      <x:c r="I36" s="84" t="str">
        <x:v>PN-019</x:v>
      </x:c>
      <x:c r="J36" s="84" t="str">
        <x:v>new record</x:v>
      </x:c>
      <x:c r="K36" s="84" t="str"/>
      <x:c r="L36" s="84" t="str"/>
    </x:row>
    <x:row r="37" ht="54" customHeight="1">
      <x:c r="A37" s="84" t="str">
        <x:v>Active bibliography</x:v>
      </x:c>
      <x:c r="B37" s="84" t="str">
        <x:v>/Users/asafsolonnikov/Developer/amplitude-robust-spectroscopy/paper/references.bib</x:v>
      </x:c>
      <x:c r="C37" s="84" t="str">
        <x:v>PhysRev.40.502</x:v>
      </x:c>
      <x:c r="D37" s="84" t="str">
        <x:v>Double Stern-Gerlach Experiment and Related Collision Phenomena</x:v>
      </x:c>
      <x:c r="E37" s="88" t="str">
        <x:v>10.1103/PhysRev.40.502</x:v>
      </x:c>
      <x:c r="F37" s="88" t="str">
        <x:v>https://link.aps.org/doi/10.1103/PhysRev.40.502</x:v>
      </x:c>
      <x:c r="G37" s="89" t="str">
        <x:v>Yes</x:v>
      </x:c>
      <x:c r="H37" s="89" t="str">
        <x:v>Yes</x:v>
      </x:c>
      <x:c r="I37" s="84" t="str">
        <x:v>PN-028</x:v>
      </x:c>
      <x:c r="J37" s="84" t="str">
        <x:v>new record</x:v>
      </x:c>
      <x:c r="K37" s="84" t="str"/>
      <x:c r="L37" s="84" t="str"/>
    </x:row>
    <x:row r="38" ht="54" customHeight="1">
      <x:c r="A38" s="84" t="str">
        <x:v>Scientific Assistant DB</x:v>
      </x:c>
      <x:c r="B38" s="84" t="str">
        <x:v>/Users/asafsolonnikov/.research-assistant/research.db :: project=power-narrowing-spectroscopy</x:v>
      </x:c>
      <x:c r="C38" s="84" t="str">
        <x:v>25</x:v>
      </x:c>
      <x:c r="D38" s="84" t="str">
        <x:v>Defying Conventional Wisdom in Spectroscopy: Power Narrowing on IBM Quantum</x:v>
      </x:c>
      <x:c r="E38" s="88" t="str">
        <x:v>10.1103/PhysRevLett.132.020802</x:v>
      </x:c>
      <x:c r="F38" s="88" t="str">
        <x:v>https://arxiv.org/abs/2308.14187</x:v>
      </x:c>
      <x:c r="G38" s="89" t="str">
        <x:v>No</x:v>
      </x:c>
      <x:c r="H38" s="89" t="str">
        <x:v>Yes</x:v>
      </x:c>
      <x:c r="I38" s="84" t="str">
        <x:v>PN-035</x:v>
      </x:c>
      <x:c r="J38" s="84" t="str">
        <x:v>new record</x:v>
      </x:c>
      <x:c r="K38" s="84" t="str"/>
      <x:c r="L38" s="84" t="str"/>
    </x:row>
    <x:row r="39" ht="54" customHeight="1">
      <x:c r="A39" s="84" t="str">
        <x:v>Scientific Assistant DB</x:v>
      </x:c>
      <x:c r="B39" s="84" t="str">
        <x:v>/Users/asafsolonnikov/.research-assistant/research.db :: project=power-narrowing-spectroscopy</x:v>
      </x:c>
      <x:c r="C39" s="84" t="str">
        <x:v>26</x:v>
      </x:c>
      <x:c r="D39" s="84" t="str">
        <x:v>Observation of Power Superbroadening of Spectral Line Profiles on IBM Quantum</x:v>
      </x:c>
      <x:c r="E39" s="88" t="str">
        <x:v>10.48550/arXiv.2506.08748</x:v>
      </x:c>
      <x:c r="F39" s="88" t="str">
        <x:v>https://arxiv.org/abs/2506.08748</x:v>
      </x:c>
      <x:c r="G39" s="89" t="str">
        <x:v>No</x:v>
      </x:c>
      <x:c r="H39" s="89" t="str">
        <x:v>Yes</x:v>
      </x:c>
      <x:c r="I39" s="84" t="str">
        <x:v>PN-034</x:v>
      </x:c>
      <x:c r="J39" s="84" t="str">
        <x:v>new record</x:v>
      </x:c>
      <x:c r="K39" s="84" t="str"/>
      <x:c r="L39" s="84" t="str"/>
    </x:row>
    <x:row r="40" ht="54" customHeight="1">
      <x:c r="A40" s="84" t="str">
        <x:v>Scientific Assistant DB</x:v>
      </x:c>
      <x:c r="B40" s="84" t="str">
        <x:v>/Users/asafsolonnikov/.research-assistant/research.db :: project=power-narrowing-spectroscopy</x:v>
      </x:c>
      <x:c r="C40" s="84" t="str">
        <x:v>27</x:v>
      </x:c>
      <x:c r="D40" s="84" t="str">
        <x:v>Qubit dynamics driven by smooth pulses of finite duration</x:v>
      </x:c>
      <x:c r="E40" s="88" t="str">
        <x:v>10.48550/arXiv.2404.12236</x:v>
      </x:c>
      <x:c r="F40" s="88" t="str">
        <x:v>https://arxiv.org/abs/2404.12236</x:v>
      </x:c>
      <x:c r="G40" s="89" t="str">
        <x:v>No</x:v>
      </x:c>
      <x:c r="H40" s="89" t="str">
        <x:v>Yes</x:v>
      </x:c>
      <x:c r="I40" s="84" t="str">
        <x:v>PN-036</x:v>
      </x:c>
      <x:c r="J40" s="84" t="str">
        <x:v>new record</x:v>
      </x:c>
      <x:c r="K40" s="84" t="str"/>
      <x:c r="L40" s="84" t="str"/>
    </x:row>
    <x:row r="41" ht="54" customHeight="1">
      <x:c r="A41" s="84" t="str">
        <x:v>Scientific Assistant DB</x:v>
      </x:c>
      <x:c r="B41" s="84" t="str">
        <x:v>/Users/asafsolonnikov/.research-assistant/research.db :: project=power-narrowing-spectroscopy</x:v>
      </x:c>
      <x:c r="C41" s="84" t="str">
        <x:v>28</x:v>
      </x:c>
      <x:c r="D41" s="84" t="str">
        <x:v>Experimental demonstration of composite pulses on IBM's quantum computer</x:v>
      </x:c>
      <x:c r="E41" s="88" t="str">
        <x:v>10.48550/arXiv.2202.09647</x:v>
      </x:c>
      <x:c r="F41" s="88" t="str">
        <x:v>https://arxiv.org/abs/2202.09647</x:v>
      </x:c>
      <x:c r="G41" s="89" t="str">
        <x:v>No</x:v>
      </x:c>
      <x:c r="H41" s="89" t="str">
        <x:v>Yes</x:v>
      </x:c>
      <x:c r="I41" s="84" t="str">
        <x:v>PN-038</x:v>
      </x:c>
      <x:c r="J41" s="84" t="str">
        <x:v>new record</x:v>
      </x:c>
      <x:c r="K41" s="84" t="str"/>
      <x:c r="L41" s="84" t="str"/>
    </x:row>
    <x:row r="42" ht="54" customHeight="1">
      <x:c r="A42" s="84" t="str">
        <x:v>Scientific Assistant DB</x:v>
      </x:c>
      <x:c r="B42" s="84" t="str">
        <x:v>/Users/asafsolonnikov/.research-assistant/research.db :: project=power-narrowing-spectroscopy</x:v>
      </x:c>
      <x:c r="C42" s="84" t="str">
        <x:v>29</x:v>
      </x:c>
      <x:c r="D42" s="84" t="str">
        <x:v>Robust high-fidelity coherent control of two-state systems by detuning pulses</x:v>
      </x:c>
      <x:c r="E42" s="88" t="str">
        <x:v>10.48550/arXiv.1810.03832</x:v>
      </x:c>
      <x:c r="F42" s="88" t="str">
        <x:v>https://arxiv.org/abs/1810.03832</x:v>
      </x:c>
      <x:c r="G42" s="89" t="str">
        <x:v>No</x:v>
      </x:c>
      <x:c r="H42" s="89" t="str">
        <x:v>Yes</x:v>
      </x:c>
      <x:c r="I42" s="84" t="str">
        <x:v>PN-045</x:v>
      </x:c>
      <x:c r="J42" s="84" t="str">
        <x:v>new record</x:v>
      </x:c>
      <x:c r="K42" s="84" t="str"/>
      <x:c r="L42" s="84" t="str"/>
    </x:row>
    <x:row r="43" ht="54" customHeight="1">
      <x:c r="A43" s="84" t="str">
        <x:v>Scientific Assistant DB</x:v>
      </x:c>
      <x:c r="B43" s="84" t="str">
        <x:v>/Users/asafsolonnikov/.research-assistant/research.db :: project=power-narrowing-spectroscopy</x:v>
      </x:c>
      <x:c r="C43" s="84" t="str">
        <x:v>30</x:v>
      </x:c>
      <x:c r="D43" s="84" t="str">
        <x:v>Arbitrarily accurate passband composite pulses for dynamical suppression of amplitude noise</x:v>
      </x:c>
      <x:c r="E43" s="88" t="str">
        <x:v>10.48550/arXiv.1310.7145</x:v>
      </x:c>
      <x:c r="F43" s="88" t="str">
        <x:v>https://arxiv.org/abs/1310.7145</x:v>
      </x:c>
      <x:c r="G43" s="89" t="str">
        <x:v>No</x:v>
      </x:c>
      <x:c r="H43" s="89" t="str">
        <x:v>Yes</x:v>
      </x:c>
      <x:c r="I43" s="84" t="str">
        <x:v>PN-050</x:v>
      </x:c>
      <x:c r="J43" s="84" t="str">
        <x:v>new record</x:v>
      </x:c>
      <x:c r="K43" s="84" t="str"/>
      <x:c r="L43" s="84" t="str"/>
    </x:row>
    <x:row r="44" ht="54" customHeight="1">
      <x:c r="A44" s="84" t="str">
        <x:v>Scientific Assistant DB</x:v>
      </x:c>
      <x:c r="B44" s="84" t="str">
        <x:v>/Users/asafsolonnikov/.research-assistant/research.db :: project=power-narrowing-spectroscopy</x:v>
      </x:c>
      <x:c r="C44" s="84" t="str">
        <x:v>31</x:v>
      </x:c>
      <x:c r="D44" s="84" t="str">
        <x:v>Power narrowing in coherent atomic excitation by smoothly shaped pulsed fields</x:v>
      </x:c>
      <x:c r="E44" s="88" t="str">
        <x:v>10.1016/j.optcom.2012.09.040</x:v>
      </x:c>
      <x:c r="F44" s="88" t="str">
        <x:v>https://doi.org/10.1016/j.optcom.2012.09.040</x:v>
      </x:c>
      <x:c r="G44" s="89" t="str">
        <x:v>No</x:v>
      </x:c>
      <x:c r="H44" s="89" t="str">
        <x:v>Yes</x:v>
      </x:c>
      <x:c r="I44" s="84" t="str">
        <x:v>PN-010</x:v>
      </x:c>
      <x:c r="J44" s="84" t="str">
        <x:v>DOI</x:v>
      </x:c>
      <x:c r="K44" s="84" t="str"/>
      <x:c r="L44" s="84" t="str"/>
    </x:row>
    <x:row r="45" ht="54" customHeight="1">
      <x:c r="A45" s="84" t="str">
        <x:v>Scientific Assistant DB</x:v>
      </x:c>
      <x:c r="B45" s="84" t="str">
        <x:v>/Users/asafsolonnikov/.research-assistant/research.db :: project=power-narrowing-spectroscopy</x:v>
      </x:c>
      <x:c r="C45" s="84" t="str">
        <x:v>32</x:v>
      </x:c>
      <x:c r="D45" s="84" t="str">
        <x:v>Control of qubits by shaped pulses of finite duration</x:v>
      </x:c>
      <x:c r="E45" s="88" t="str">
        <x:v>10.1103/PhysRevA.88.013402</x:v>
      </x:c>
      <x:c r="F45" s="88" t="str">
        <x:v>https://doi.org/10.1103/PhysRevA.88.013402</x:v>
      </x:c>
      <x:c r="G45" s="89" t="str">
        <x:v>No</x:v>
      </x:c>
      <x:c r="H45" s="89" t="str">
        <x:v>Yes</x:v>
      </x:c>
      <x:c r="I45" s="84" t="str">
        <x:v>PN-051</x:v>
      </x:c>
      <x:c r="J45" s="84" t="str">
        <x:v>new record</x:v>
      </x:c>
      <x:c r="K45" s="84" t="str"/>
      <x:c r="L45" s="84" t="str"/>
    </x:row>
    <x:row r="46" ht="54" customHeight="1">
      <x:c r="A46" s="84" t="str">
        <x:v>Scientific Assistant DB</x:v>
      </x:c>
      <x:c r="B46" s="84" t="str">
        <x:v>/Users/asafsolonnikov/.research-assistant/research.db :: project=power-narrowing-spectroscopy</x:v>
      </x:c>
      <x:c r="C46" s="84" t="str">
        <x:v>33</x:v>
      </x:c>
      <x:c r="D46" s="84" t="str">
        <x:v>Coherent excitation of a two-state system by a Gaussian field</x:v>
      </x:c>
      <x:c r="E46" s="88" t="str">
        <x:v>10.1103/PhysRevA.70.053407</x:v>
      </x:c>
      <x:c r="F46" s="88" t="str">
        <x:v>https://doi.org/10.1103/PhysRevA.70.053407</x:v>
      </x:c>
      <x:c r="G46" s="89" t="str">
        <x:v>No</x:v>
      </x:c>
      <x:c r="H46" s="89" t="str">
        <x:v>Yes</x:v>
      </x:c>
      <x:c r="I46" s="84" t="str">
        <x:v>PN-016</x:v>
      </x:c>
      <x:c r="J46" s="84" t="str">
        <x:v>DOI</x:v>
      </x:c>
      <x:c r="K46" s="84" t="str"/>
      <x:c r="L46" s="84" t="str"/>
    </x:row>
    <x:row r="47" ht="54" customHeight="1">
      <x:c r="A47" s="84" t="str">
        <x:v>Scientific Assistant DB</x:v>
      </x:c>
      <x:c r="B47" s="84" t="str">
        <x:v>/Users/asafsolonnikov/.research-assistant/research.db :: project=power-narrowing-spectroscopy</x:v>
      </x:c>
      <x:c r="C47" s="84" t="str">
        <x:v>34</x:v>
      </x:c>
      <x:c r="D47" s="84" t="str">
        <x:v>Effects of pulse shape on strongly driven two-level systems</x:v>
      </x:c>
      <x:c r="E47" s="88" t="str">
        <x:v>10.1103/PhysRevA.84.063416</x:v>
      </x:c>
      <x:c r="F47" s="88" t="str">
        <x:v>https://doi.org/10.1103/PhysRevA.84.063416</x:v>
      </x:c>
      <x:c r="G47" s="89" t="str">
        <x:v>No</x:v>
      </x:c>
      <x:c r="H47" s="89" t="str">
        <x:v>Yes</x:v>
      </x:c>
      <x:c r="I47" s="84" t="str">
        <x:v>PN-054</x:v>
      </x:c>
      <x:c r="J47" s="84" t="str">
        <x:v>new record</x:v>
      </x:c>
      <x:c r="K47" s="84" t="str"/>
      <x:c r="L47" s="84" t="str"/>
    </x:row>
    <x:row r="48" ht="54" customHeight="1">
      <x:c r="A48" s="84" t="str">
        <x:v>Scientific Assistant DB</x:v>
      </x:c>
      <x:c r="B48" s="84" t="str">
        <x:v>/Users/asafsolonnikov/.research-assistant/research.db :: project=power-narrowing-spectroscopy</x:v>
      </x:c>
      <x:c r="C48" s="84" t="str">
        <x:v>35</x:v>
      </x:c>
      <x:c r="D48" s="84" t="str">
        <x:v>Trace Isotope Detection Enhanced by Coherent Elimination of Power Broadening</x:v>
      </x:c>
      <x:c r="E48" s="88" t="str">
        <x:v>10.1103/PhysRevLett.97.243004</x:v>
      </x:c>
      <x:c r="F48" s="88" t="str">
        <x:v>https://doi.org/10.1103/PhysRevLett.97.243004</x:v>
      </x:c>
      <x:c r="G48" s="89" t="str">
        <x:v>No</x:v>
      </x:c>
      <x:c r="H48" s="89" t="str">
        <x:v>Yes</x:v>
      </x:c>
      <x:c r="I48" s="84" t="str">
        <x:v>PN-055</x:v>
      </x:c>
      <x:c r="J48" s="84" t="str">
        <x:v>new record</x:v>
      </x:c>
      <x:c r="K48" s="84" t="str"/>
      <x:c r="L48" s="84" t="str"/>
    </x:row>
    <x:row r="49" ht="54" customHeight="1">
      <x:c r="A49" s="84" t="str">
        <x:v>Scientific Assistant DB</x:v>
      </x:c>
      <x:c r="B49" s="84" t="str">
        <x:v>/Users/asafsolonnikov/.research-assistant/research.db :: project=power-narrowing-spectroscopy</x:v>
      </x:c>
      <x:c r="C49" s="84" t="str">
        <x:v>36</x:v>
      </x:c>
      <x:c r="D49" s="84" t="str">
        <x:v>Power narrowing: counteracting Doppler broadening in two-color transitions</x:v>
      </x:c>
      <x:c r="E49" s="88" t="str">
        <x:v>10.1088/1367-2630/ab4624</x:v>
      </x:c>
      <x:c r="F49" s="88" t="str">
        <x:v>https://doi.org/10.1088/1367-2630/ab4624</x:v>
      </x:c>
      <x:c r="G49" s="89" t="str">
        <x:v>No</x:v>
      </x:c>
      <x:c r="H49" s="89" t="str">
        <x:v>Yes</x:v>
      </x:c>
      <x:c r="I49" s="84" t="str">
        <x:v>PN-007</x:v>
      </x:c>
      <x:c r="J49" s="84" t="str">
        <x:v>DOI</x:v>
      </x:c>
      <x:c r="K49" s="84" t="str"/>
      <x:c r="L49" s="84" t="str"/>
    </x:row>
    <x:row r="50" ht="54" customHeight="1">
      <x:c r="A50" s="84" t="str">
        <x:v>Scientific Assistant DB</x:v>
      </x:c>
      <x:c r="B50" s="84" t="str">
        <x:v>/Users/asafsolonnikov/.research-assistant/research.db :: project=power-narrowing-spectroscopy</x:v>
      </x:c>
      <x:c r="C50" s="84" t="str">
        <x:v>37</x:v>
      </x:c>
      <x:c r="D50" s="84" t="str">
        <x:v>Avoiding power broadening in optically detected magnetic resonance of single NV defects for enhanced dc magnetic field sensitivity</x:v>
      </x:c>
      <x:c r="E50" s="88" t="str">
        <x:v>10.1103/PhysRevB.84.195204</x:v>
      </x:c>
      <x:c r="F50" s="88" t="str">
        <x:v>https://doi.org/10.1103/PhysRevB.84.195204</x:v>
      </x:c>
      <x:c r="G50" s="89" t="str">
        <x:v>No</x:v>
      </x:c>
      <x:c r="H50" s="89" t="str">
        <x:v>Yes</x:v>
      </x:c>
      <x:c r="I50" s="84" t="str">
        <x:v>PN-052</x:v>
      </x:c>
      <x:c r="J50" s="84" t="str">
        <x:v>new record</x:v>
      </x:c>
      <x:c r="K50" s="84" t="str"/>
      <x:c r="L50" s="84" t="str"/>
    </x:row>
    <x:row r="51" ht="54" customHeight="1">
      <x:c r="A51" s="84" t="str">
        <x:v>Scientific Assistant DB</x:v>
      </x:c>
      <x:c r="B51" s="84" t="str">
        <x:v>/Users/asafsolonnikov/.research-assistant/research.db :: project=power-narrowing-spectroscopy</x:v>
      </x:c>
      <x:c r="C51" s="84" t="str">
        <x:v>38</x:v>
      </x:c>
      <x:c r="D51" s="84" t="str">
        <x:v>Spin Echoes</x:v>
      </x:c>
      <x:c r="E51" s="88" t="str">
        <x:v>10.1103/PhysRev.80.580</x:v>
      </x:c>
      <x:c r="F51" s="88" t="str">
        <x:v>https://doi.org/10.1103/PhysRev.80.580</x:v>
      </x:c>
      <x:c r="G51" s="89" t="str">
        <x:v>No</x:v>
      </x:c>
      <x:c r="H51" s="89" t="str">
        <x:v>Yes</x:v>
      </x:c>
      <x:c r="I51" s="84" t="str">
        <x:v>PN-061</x:v>
      </x:c>
      <x:c r="J51" s="84" t="str">
        <x:v>new record</x:v>
      </x:c>
      <x:c r="K51" s="84" t="str"/>
      <x:c r="L51" s="84" t="str"/>
    </x:row>
    <x:row r="52" ht="54" customHeight="1">
      <x:c r="A52" s="84" t="str">
        <x:v>Scientific Assistant DB</x:v>
      </x:c>
      <x:c r="B52" s="84" t="str">
        <x:v>/Users/asafsolonnikov/.research-assistant/research.db :: project=power-narrowing-spectroscopy</x:v>
      </x:c>
      <x:c r="C52" s="84" t="str">
        <x:v>39</x:v>
      </x:c>
      <x:c r="D52" s="84" t="str">
        <x:v>Effects of Diffusion on Free Precession in Nuclear Magnetic Resonance Experiments</x:v>
      </x:c>
      <x:c r="E52" s="88" t="str">
        <x:v>10.1103/PhysRev.94.630</x:v>
      </x:c>
      <x:c r="F52" s="88" t="str">
        <x:v>https://doi.org/10.1103/PhysRev.94.630</x:v>
      </x:c>
      <x:c r="G52" s="89" t="str">
        <x:v>No</x:v>
      </x:c>
      <x:c r="H52" s="89" t="str">
        <x:v>Yes</x:v>
      </x:c>
      <x:c r="I52" s="84" t="str">
        <x:v>PN-060</x:v>
      </x:c>
      <x:c r="J52" s="84" t="str">
        <x:v>new record</x:v>
      </x:c>
      <x:c r="K52" s="84" t="str"/>
      <x:c r="L52" s="84" t="str"/>
    </x:row>
    <x:row r="53" ht="54" customHeight="1">
      <x:c r="A53" s="84" t="str">
        <x:v>Scientific Assistant DB</x:v>
      </x:c>
      <x:c r="B53" s="84" t="str">
        <x:v>/Users/asafsolonnikov/.research-assistant/research.db :: project=power-narrowing-spectroscopy</x:v>
      </x:c>
      <x:c r="C53" s="84" t="str">
        <x:v>40</x:v>
      </x:c>
      <x:c r="D53" s="84" t="str">
        <x:v>Observation of a Photon Echo</x:v>
      </x:c>
      <x:c r="E53" s="88" t="str">
        <x:v>10.1103/PhysRevLett.13.567</x:v>
      </x:c>
      <x:c r="F53" s="88" t="str">
        <x:v>https://doi.org/10.1103/PhysRevLett.13.567</x:v>
      </x:c>
      <x:c r="G53" s="89" t="str">
        <x:v>No</x:v>
      </x:c>
      <x:c r="H53" s="89" t="str">
        <x:v>Yes</x:v>
      </x:c>
      <x:c r="I53" s="84" t="str">
        <x:v>PN-059</x:v>
      </x:c>
      <x:c r="J53" s="84" t="str">
        <x:v>new record</x:v>
      </x:c>
      <x:c r="K53" s="84" t="str"/>
      <x:c r="L53" s="84" t="str"/>
    </x:row>
    <x:row r="54" ht="54" customHeight="1">
      <x:c r="A54" s="84" t="str">
        <x:v>Scientific Assistant DB</x:v>
      </x:c>
      <x:c r="B54" s="84" t="str">
        <x:v>/Users/asafsolonnikov/.research-assistant/research.db :: project=power-narrowing-spectroscopy</x:v>
      </x:c>
      <x:c r="C54" s="84" t="str">
        <x:v>41</x:v>
      </x:c>
      <x:c r="D54" s="84" t="str">
        <x:v>Breaking the diffraction resolution limit by stimulated emission: stimulated-emission-depletion fluorescence microscopy</x:v>
      </x:c>
      <x:c r="E54" s="88" t="str">
        <x:v>10.1364/OL.19.000780</x:v>
      </x:c>
      <x:c r="F54" s="88" t="str">
        <x:v>https://doi.org/10.1364/OL.19.000780</x:v>
      </x:c>
      <x:c r="G54" s="89" t="str">
        <x:v>No</x:v>
      </x:c>
      <x:c r="H54" s="89" t="str">
        <x:v>Yes</x:v>
      </x:c>
      <x:c r="I54" s="84" t="str">
        <x:v>PN-020</x:v>
      </x:c>
      <x:c r="J54" s="84" t="str">
        <x:v>DOI</x:v>
      </x:c>
      <x:c r="K54" s="84" t="str"/>
      <x:c r="L54" s="84" t="str"/>
    </x:row>
    <x:row r="55" ht="54" customHeight="1">
      <x:c r="A55" s="84" t="str">
        <x:v>Scientific Assistant DB</x:v>
      </x:c>
      <x:c r="B55" s="84" t="str">
        <x:v>/Users/asafsolonnikov/.research-assistant/research.db :: project=power-narrowing-spectroscopy</x:v>
      </x:c>
      <x:c r="C55" s="84" t="str">
        <x:v>42</x:v>
      </x:c>
      <x:c r="D55" s="84" t="str">
        <x:v>Fluorescence microscopy with diffraction resolution barrier broken by stimulated emission</x:v>
      </x:c>
      <x:c r="E55" s="88" t="str">
        <x:v>10.1073/PNAS.97.15.8206</x:v>
      </x:c>
      <x:c r="F55" s="88" t="str">
        <x:v>https://doi.org/10.1073/PNAS.97.15.8206</x:v>
      </x:c>
      <x:c r="G55" s="89" t="str">
        <x:v>No</x:v>
      </x:c>
      <x:c r="H55" s="89" t="str">
        <x:v>Yes</x:v>
      </x:c>
      <x:c r="I55" s="84" t="str">
        <x:v>PN-056</x:v>
      </x:c>
      <x:c r="J55" s="84" t="str">
        <x:v>new record</x:v>
      </x:c>
      <x:c r="K55" s="84" t="str"/>
      <x:c r="L55" s="84" t="str"/>
    </x:row>
    <x:row r="56" ht="54" customHeight="1">
      <x:c r="A56" s="84" t="str">
        <x:v>Scientific Assistant DB</x:v>
      </x:c>
      <x:c r="B56" s="84" t="str">
        <x:v>/Users/asafsolonnikov/.research-assistant/research.db :: project=power-narrowing-spectroscopy</x:v>
      </x:c>
      <x:c r="C56" s="84" t="str">
        <x:v>43</x:v>
      </x:c>
      <x:c r="D56" s="84" t="str">
        <x:v>Loschmidt echo for quantum metrology</x:v>
      </x:c>
      <x:c r="E56" s="88" t="str">
        <x:v>10.1103/PhysRevA.94.010102</x:v>
      </x:c>
      <x:c r="F56" s="88" t="str">
        <x:v>https://arxiv.org/abs/1604.04246</x:v>
      </x:c>
      <x:c r="G56" s="89" t="str">
        <x:v>No</x:v>
      </x:c>
      <x:c r="H56" s="89" t="str">
        <x:v>Yes</x:v>
      </x:c>
      <x:c r="I56" s="84" t="str">
        <x:v>PN-047</x:v>
      </x:c>
      <x:c r="J56" s="84" t="str">
        <x:v>new record</x:v>
      </x:c>
      <x:c r="K56" s="84" t="str"/>
      <x:c r="L56" s="84" t="str"/>
    </x:row>
    <x:row r="57" ht="54" customHeight="1">
      <x:c r="A57" s="84" t="str">
        <x:v>Scientific Assistant DB</x:v>
      </x:c>
      <x:c r="B57" s="84" t="str">
        <x:v>/Users/asafsolonnikov/.research-assistant/research.db :: project=power-narrowing-spectroscopy</x:v>
      </x:c>
      <x:c r="C57" s="84" t="str">
        <x:v>44</x:v>
      </x:c>
      <x:c r="D57" s="84" t="str">
        <x:v>Variational Quantum Metrology with Loschmidt Echo</x:v>
      </x:c>
      <x:c r="E57" s="88" t="str">
        <x:v>10.48550/arXiv.2211.12296</x:v>
      </x:c>
      <x:c r="F57" s="88" t="str">
        <x:v>https://arxiv.org/abs/2211.12296</x:v>
      </x:c>
      <x:c r="G57" s="89" t="str">
        <x:v>No</x:v>
      </x:c>
      <x:c r="H57" s="89" t="str">
        <x:v>Yes</x:v>
      </x:c>
      <x:c r="I57" s="84" t="str">
        <x:v>PN-039</x:v>
      </x:c>
      <x:c r="J57" s="84" t="str">
        <x:v>new record</x:v>
      </x:c>
      <x:c r="K57" s="84" t="str"/>
      <x:c r="L57" s="84" t="str"/>
    </x:row>
    <x:row r="58" ht="54" customHeight="1">
      <x:c r="A58" s="84" t="str">
        <x:v>Scientific Assistant DB</x:v>
      </x:c>
      <x:c r="B58" s="84" t="str">
        <x:v>/Users/asafsolonnikov/.research-assistant/research.db :: project=power-narrowing-spectroscopy</x:v>
      </x:c>
      <x:c r="C58" s="84" t="str">
        <x:v>45</x:v>
      </x:c>
      <x:c r="D58" s="84" t="str">
        <x:v>Dynamical decoupling and noise spectroscopy with a superconducting flux qubit</x:v>
      </x:c>
      <x:c r="E58" s="88" t="str">
        <x:v>10.1038/nphys1994</x:v>
      </x:c>
      <x:c r="F58" s="88" t="str">
        <x:v>https://arxiv.org/abs/1101.4707</x:v>
      </x:c>
      <x:c r="G58" s="89" t="str">
        <x:v>No</x:v>
      </x:c>
      <x:c r="H58" s="89" t="str">
        <x:v>Yes</x:v>
      </x:c>
      <x:c r="I58" s="84" t="str">
        <x:v>PN-053</x:v>
      </x:c>
      <x:c r="J58" s="84" t="str">
        <x:v>new record</x:v>
      </x:c>
      <x:c r="K58" s="84" t="str"/>
      <x:c r="L58" s="84" t="str"/>
    </x:row>
    <x:row r="59" ht="54" customHeight="1">
      <x:c r="A59" s="84" t="str">
        <x:v>Scientific Assistant DB</x:v>
      </x:c>
      <x:c r="B59" s="84" t="str">
        <x:v>/Users/asafsolonnikov/.research-assistant/research.db :: project=power-narrowing-spectroscopy</x:v>
      </x:c>
      <x:c r="C59" s="84" t="str">
        <x:v>46</x:v>
      </x:c>
      <x:c r="D59" s="84" t="str">
        <x:v>Rotating-frame relaxation as a noise spectrum analyzer of a superconducting qubit undergoing driven evolution</x:v>
      </x:c>
      <x:c r="E59" s="88" t="str">
        <x:v>10.1038/ncomms12964</x:v>
      </x:c>
      <x:c r="F59" s="88" t="str">
        <x:v>https://arxiv.org/abs/1508.06436</x:v>
      </x:c>
      <x:c r="G59" s="89" t="str">
        <x:v>No</x:v>
      </x:c>
      <x:c r="H59" s="89" t="str">
        <x:v>Yes</x:v>
      </x:c>
      <x:c r="I59" s="84" t="str">
        <x:v>PN-049</x:v>
      </x:c>
      <x:c r="J59" s="84" t="str">
        <x:v>new record</x:v>
      </x:c>
      <x:c r="K59" s="84" t="str"/>
      <x:c r="L59" s="84" t="str"/>
    </x:row>
    <x:row r="60" ht="54" customHeight="1">
      <x:c r="A60" s="84" t="str">
        <x:v>Scientific Assistant DB</x:v>
      </x:c>
      <x:c r="B60" s="84" t="str">
        <x:v>/Users/asafsolonnikov/.research-assistant/research.db :: project=power-narrowing-spectroscopy</x:v>
      </x:c>
      <x:c r="C60" s="84" t="str">
        <x:v>47</x:v>
      </x:c>
      <x:c r="D60" s="84" t="str">
        <x:v>Quantum spectroscopy of single spins assisted by a classical clock</x:v>
      </x:c>
      <x:c r="E60" s="88" t="str">
        <x:v>10.48550/arXiv.1612.07225</x:v>
      </x:c>
      <x:c r="F60" s="88" t="str">
        <x:v>https://arxiv.org/abs/1612.07225</x:v>
      </x:c>
      <x:c r="G60" s="89" t="str">
        <x:v>No</x:v>
      </x:c>
      <x:c r="H60" s="89" t="str">
        <x:v>Yes</x:v>
      </x:c>
      <x:c r="I60" s="84" t="str">
        <x:v>PN-048</x:v>
      </x:c>
      <x:c r="J60" s="84" t="str">
        <x:v>new record</x:v>
      </x:c>
      <x:c r="K60" s="84" t="str"/>
      <x:c r="L60" s="84" t="str"/>
    </x:row>
    <x:row r="61" ht="54" customHeight="1">
      <x:c r="A61" s="84" t="str">
        <x:v>Scientific Assistant DB</x:v>
      </x:c>
      <x:c r="B61" s="84" t="str">
        <x:v>/Users/asafsolonnikov/.research-assistant/research.db :: project=power-narrowing-spectroscopy</x:v>
      </x:c>
      <x:c r="C61" s="84" t="str">
        <x:v>48</x:v>
      </x:c>
      <x:c r="D61" s="84" t="str">
        <x:v>Limits on Spectral Resolution Measurements by Quantum Probes</x:v>
      </x:c>
      <x:c r="E61" s="88" t="str">
        <x:v>10.48550/arXiv.1707.01902</x:v>
      </x:c>
      <x:c r="F61" s="88" t="str">
        <x:v>https://arxiv.org/abs/1707.01902</x:v>
      </x:c>
      <x:c r="G61" s="89" t="str">
        <x:v>No</x:v>
      </x:c>
      <x:c r="H61" s="89" t="str">
        <x:v>Yes</x:v>
      </x:c>
      <x:c r="I61" s="84" t="str">
        <x:v>PN-005</x:v>
      </x:c>
      <x:c r="J61" s="84" t="str">
        <x:v>normalized title</x:v>
      </x:c>
      <x:c r="K61" s="84" t="str"/>
      <x:c r="L61" s="84" t="str"/>
    </x:row>
    <x:row r="62" ht="54" customHeight="1">
      <x:c r="A62" s="84" t="str">
        <x:v>Scientific Assistant DB</x:v>
      </x:c>
      <x:c r="B62" s="84" t="str">
        <x:v>/Users/asafsolonnikov/.research-assistant/research.db :: project=power-narrowing-spectroscopy</x:v>
      </x:c>
      <x:c r="C62" s="84" t="str">
        <x:v>49</x:v>
      </x:c>
      <x:c r="D62" s="84" t="str">
        <x:v>Precise Spectroscopy of High-Frequency Oscillating Fields with a Single-Qubit Sensor</x:v>
      </x:c>
      <x:c r="E62" s="88" t="str">
        <x:v>10.48550/arXiv.2009.05458</x:v>
      </x:c>
      <x:c r="F62" s="88" t="str">
        <x:v>https://arxiv.org/abs/2009.05458</x:v>
      </x:c>
      <x:c r="G62" s="89" t="str">
        <x:v>No</x:v>
      </x:c>
      <x:c r="H62" s="89" t="str">
        <x:v>Yes</x:v>
      </x:c>
      <x:c r="I62" s="84" t="str">
        <x:v>PN-041</x:v>
      </x:c>
      <x:c r="J62" s="84" t="str">
        <x:v>new record</x:v>
      </x:c>
      <x:c r="K62" s="84" t="str"/>
      <x:c r="L62" s="84" t="str"/>
    </x:row>
    <x:row r="63" ht="54" customHeight="1">
      <x:c r="A63" s="84" t="str">
        <x:v>Scientific Assistant DB</x:v>
      </x:c>
      <x:c r="B63" s="84" t="str">
        <x:v>/Users/asafsolonnikov/.research-assistant/research.db :: project=power-narrowing-spectroscopy</x:v>
      </x:c>
      <x:c r="C63" s="84" t="str">
        <x:v>50</x:v>
      </x:c>
      <x:c r="D63" s="84" t="str">
        <x:v>Achieving the ultimate precision limit in quantum NMR spectroscopy</x:v>
      </x:c>
      <x:c r="E63" s="88" t="str">
        <x:v>10.48550/arXiv.1912.09062</x:v>
      </x:c>
      <x:c r="F63" s="88" t="str">
        <x:v>https://arxiv.org/abs/1912.09062</x:v>
      </x:c>
      <x:c r="G63" s="89" t="str">
        <x:v>No</x:v>
      </x:c>
      <x:c r="H63" s="89" t="str">
        <x:v>Yes</x:v>
      </x:c>
      <x:c r="I63" s="84" t="str">
        <x:v>PN-042</x:v>
      </x:c>
      <x:c r="J63" s="84" t="str">
        <x:v>new record</x:v>
      </x:c>
      <x:c r="K63" s="84" t="str"/>
      <x:c r="L63" s="84" t="str"/>
    </x:row>
    <x:row r="64" ht="54" customHeight="1">
      <x:c r="A64" s="84" t="str">
        <x:v>Scientific Assistant DB</x:v>
      </x:c>
      <x:c r="B64" s="84" t="str">
        <x:v>/Users/asafsolonnikov/.research-assistant/research.db :: project=power-narrowing-spectroscopy</x:v>
      </x:c>
      <x:c r="C64" s="84" t="str">
        <x:v>51</x:v>
      </x:c>
      <x:c r="D64" s="84" t="str">
        <x:v>Overcoming frequency resolution limits using a solid-state spin quantum sensor</x:v>
      </x:c>
      <x:c r="E64" s="88" t="str">
        <x:v>10.48550/arXiv.2506.20416</x:v>
      </x:c>
      <x:c r="F64" s="88" t="str">
        <x:v>https://arxiv.org/abs/2506.20416</x:v>
      </x:c>
      <x:c r="G64" s="89" t="str">
        <x:v>No</x:v>
      </x:c>
      <x:c r="H64" s="89" t="str">
        <x:v>Yes</x:v>
      </x:c>
      <x:c r="I64" s="84" t="str">
        <x:v>PN-001</x:v>
      </x:c>
      <x:c r="J64" s="84" t="str">
        <x:v>normalized title</x:v>
      </x:c>
      <x:c r="K64" s="84" t="str"/>
      <x:c r="L64" s="84" t="str"/>
    </x:row>
    <x:row r="65" ht="54" customHeight="1">
      <x:c r="A65" s="84" t="str">
        <x:v>Scientific Assistant DB</x:v>
      </x:c>
      <x:c r="B65" s="84" t="str">
        <x:v>/Users/asafsolonnikov/.research-assistant/research.db :: project=power-narrowing-spectroscopy</x:v>
      </x:c>
      <x:c r="C65" s="84" t="str">
        <x:v>52</x:v>
      </x:c>
      <x:c r="D65" s="84" t="str">
        <x:v>Correlated noise in Brownian motion allows for super resolution</x:v>
      </x:c>
      <x:c r="E65" s="88" t="str">
        <x:v>10.48550/arXiv.2005.08346</x:v>
      </x:c>
      <x:c r="F65" s="88" t="str">
        <x:v>https://arxiv.org/abs/2005.08346</x:v>
      </x:c>
      <x:c r="G65" s="89" t="str">
        <x:v>No</x:v>
      </x:c>
      <x:c r="H65" s="89" t="str">
        <x:v>Yes</x:v>
      </x:c>
      <x:c r="I65" s="84" t="str">
        <x:v>PN-040</x:v>
      </x:c>
      <x:c r="J65" s="84" t="str">
        <x:v>new record</x:v>
      </x:c>
      <x:c r="K65" s="84" t="str"/>
      <x:c r="L65" s="84" t="str"/>
    </x:row>
    <x:row r="66" ht="54" customHeight="1">
      <x:c r="A66" s="84" t="str">
        <x:v>Scientific Assistant DB</x:v>
      </x:c>
      <x:c r="B66" s="84" t="str">
        <x:v>/Users/asafsolonnikov/.research-assistant/research.db :: project=power-narrowing-spectroscopy</x:v>
      </x:c>
      <x:c r="C66" s="84" t="str">
        <x:v>53</x:v>
      </x:c>
      <x:c r="D66" s="84" t="str">
        <x:v>Inertial Theorem: Overcoming the Quantum Adiabatic Limit</x:v>
      </x:c>
      <x:c r="E66" s="88" t="str">
        <x:v>10.48550/arXiv.1810.12094</x:v>
      </x:c>
      <x:c r="F66" s="88" t="str">
        <x:v>https://arxiv.org/abs/1810.12094</x:v>
      </x:c>
      <x:c r="G66" s="89" t="str">
        <x:v>No</x:v>
      </x:c>
      <x:c r="H66" s="89" t="str">
        <x:v>Yes</x:v>
      </x:c>
      <x:c r="I66" s="84" t="str">
        <x:v>PN-044</x:v>
      </x:c>
      <x:c r="J66" s="84" t="str">
        <x:v>new record</x:v>
      </x:c>
      <x:c r="K66" s="84" t="str"/>
      <x:c r="L66" s="84" t="str"/>
    </x:row>
    <x:row r="67" ht="54" customHeight="1">
      <x:c r="A67" s="84" t="str">
        <x:v>Scientific Assistant DB</x:v>
      </x:c>
      <x:c r="B67" s="84" t="str">
        <x:v>/Users/asafsolonnikov/.research-assistant/research.db :: project=power-narrowing-spectroscopy</x:v>
      </x:c>
      <x:c r="C67" s="84" t="str">
        <x:v>54</x:v>
      </x:c>
      <x:c r="D67" s="84" t="str">
        <x:v>Experimental verification of the inertial theorem control protocols</x:v>
      </x:c>
      <x:c r="E67" s="88" t="str">
        <x:v>10.48550/arXiv.1903.00404</x:v>
      </x:c>
      <x:c r="F67" s="88" t="str">
        <x:v>https://arxiv.org/abs/1903.00404</x:v>
      </x:c>
      <x:c r="G67" s="89" t="str">
        <x:v>No</x:v>
      </x:c>
      <x:c r="H67" s="89" t="str">
        <x:v>Yes</x:v>
      </x:c>
      <x:c r="I67" s="84" t="str">
        <x:v>PN-043</x:v>
      </x:c>
      <x:c r="J67" s="84" t="str">
        <x:v>new record</x:v>
      </x:c>
      <x:c r="K67" s="84" t="str"/>
      <x:c r="L67" s="84" t="str"/>
    </x:row>
    <x:row r="68" ht="54" customHeight="1">
      <x:c r="A68" s="84" t="str">
        <x:v>Scientific Assistant DB</x:v>
      </x:c>
      <x:c r="B68" s="84" t="str">
        <x:v>/Users/asafsolonnikov/.research-assistant/research.db :: project=power-narrowing-spectroscopy</x:v>
      </x:c>
      <x:c r="C68" s="84" t="str">
        <x:v>55</x:v>
      </x:c>
      <x:c r="D68" s="84" t="str">
        <x:v>Time Dependent Markovian Quantum Master Equation</x:v>
      </x:c>
      <x:c r="E68" s="88" t="str">
        <x:v>10.48550/arXiv.1805.10689</x:v>
      </x:c>
      <x:c r="F68" s="88" t="str">
        <x:v>https://arxiv.org/abs/1805.10689</x:v>
      </x:c>
      <x:c r="G68" s="89" t="str">
        <x:v>No</x:v>
      </x:c>
      <x:c r="H68" s="89" t="str">
        <x:v>Yes</x:v>
      </x:c>
      <x:c r="I68" s="84" t="str">
        <x:v>PN-046</x:v>
      </x:c>
      <x:c r="J68" s="84" t="str">
        <x:v>new record</x:v>
      </x:c>
      <x:c r="K68" s="84" t="str"/>
      <x:c r="L68" s="84" t="str"/>
    </x:row>
    <x:row r="69" ht="54" customHeight="1">
      <x:c r="A69" s="84" t="str">
        <x:v>Scientific Assistant DB</x:v>
      </x:c>
      <x:c r="B69" s="84" t="str">
        <x:v>/Users/asafsolonnikov/.research-assistant/research.db :: project=power-narrowing-spectroscopy</x:v>
      </x:c>
      <x:c r="C69" s="84" t="str">
        <x:v>56</x:v>
      </x:c>
      <x:c r="D69" s="84" t="str">
        <x:v>Controlling the uncontrollable: Quantum control of open system dynamics</x:v>
      </x:c>
      <x:c r="E69" s="88" t="str">
        <x:v>10.48550/arXiv.2205.05971</x:v>
      </x:c>
      <x:c r="F69" s="88" t="str">
        <x:v>https://arxiv.org/abs/2205.05971</x:v>
      </x:c>
      <x:c r="G69" s="89" t="str">
        <x:v>No</x:v>
      </x:c>
      <x:c r="H69" s="89" t="str">
        <x:v>Yes</x:v>
      </x:c>
      <x:c r="I69" s="84" t="str">
        <x:v>PN-037</x:v>
      </x:c>
      <x:c r="J69" s="84" t="str">
        <x:v>new record</x:v>
      </x:c>
      <x:c r="K69" s="84" t="str"/>
      <x:c r="L69" s="84" t="str"/>
    </x:row>
    <x:row r="70" ht="54" customHeight="1">
      <x:c r="A70" s="84" t="str">
        <x:v>Scientific Assistant DB</x:v>
      </x:c>
      <x:c r="B70" s="84" t="str">
        <x:v>/Users/asafsolonnikov/.research-assistant/research.db :: project=power-narrowing-spectroscopy</x:v>
      </x:c>
      <x:c r="C70" s="84" t="str">
        <x:v>57</x:v>
      </x:c>
      <x:c r="D70" s="84" t="str">
        <x:v>Superresolution in Quantum Noise Spectroscopy via Filter Design</x:v>
      </x:c>
      <x:c r="E70" s="88" t="str"/>
      <x:c r="F70" s="88" t="str">
        <x:v>https://arxiv.org/abs/2602.11275</x:v>
      </x:c>
      <x:c r="G70" s="89" t="str">
        <x:v>No</x:v>
      </x:c>
      <x:c r="H70" s="89" t="str">
        <x:v>Yes</x:v>
      </x:c>
      <x:c r="I70" s="84" t="str">
        <x:v>PN-032</x:v>
      </x:c>
      <x:c r="J70" s="84" t="str">
        <x:v>new record</x:v>
      </x:c>
      <x:c r="K70" s="84" t="str"/>
      <x:c r="L70" s="84" t="str"/>
    </x:row>
    <x:row r="71" ht="54" customHeight="1">
      <x:c r="A71" s="84" t="str">
        <x:v>Scientific Assistant DB</x:v>
      </x:c>
      <x:c r="B71" s="84" t="str">
        <x:v>/Users/asafsolonnikov/.research-assistant/research.db :: project=power-narrowing-spectroscopy</x:v>
      </x:c>
      <x:c r="C71" s="84" t="str">
        <x:v>58</x:v>
      </x:c>
      <x:c r="D71" s="84" t="str">
        <x:v>Pulse Shaping for Superconducting Qubits</x:v>
      </x:c>
      <x:c r="E71" s="88" t="str"/>
      <x:c r="F71" s="88" t="str">
        <x:v>https://arxiv.org/abs/2604.21565</x:v>
      </x:c>
      <x:c r="G71" s="89" t="str">
        <x:v>No</x:v>
      </x:c>
      <x:c r="H71" s="89" t="str">
        <x:v>Yes</x:v>
      </x:c>
      <x:c r="I71" s="84" t="str">
        <x:v>PN-031</x:v>
      </x:c>
      <x:c r="J71" s="84" t="str">
        <x:v>new record</x:v>
      </x:c>
      <x:c r="K71" s="84" t="str"/>
      <x:c r="L71" s="84" t="str"/>
    </x:row>
    <x:row r="72" ht="54" customHeight="1">
      <x:c r="A72" s="84" t="str">
        <x:v>Scientific Assistant DB</x:v>
      </x:c>
      <x:c r="B72" s="84" t="str">
        <x:v>/Users/asafsolonnikov/.research-assistant/research.db :: project=power-narrowing-spectroscopy</x:v>
      </x:c>
      <x:c r="C72" s="84" t="str">
        <x:v>59</x:v>
      </x:c>
      <x:c r="D72" s="84" t="str">
        <x:v>Assessing Spatiotemporally Correlated Noise in Superconducting Qubits via Pulse-Based Quantum Noise Spectroscopy</x:v>
      </x:c>
      <x:c r="E72" s="88" t="str"/>
      <x:c r="F72" s="88" t="str">
        <x:v>https://arxiv.org/abs/2603.19373</x:v>
      </x:c>
      <x:c r="G72" s="89" t="str">
        <x:v>No</x:v>
      </x:c>
      <x:c r="H72" s="89" t="str">
        <x:v>Yes</x:v>
      </x:c>
      <x:c r="I72" s="84" t="str">
        <x:v>PN-030</x:v>
      </x:c>
      <x:c r="J72" s="84" t="str">
        <x:v>new record</x:v>
      </x:c>
      <x:c r="K72" s="84" t="str"/>
      <x:c r="L72" s="84" t="str"/>
    </x:row>
    <x:row r="73" ht="54" customHeight="1">
      <x:c r="A73" s="84" t="str">
        <x:v>Scientific Assistant DB</x:v>
      </x:c>
      <x:c r="B73" s="84" t="str">
        <x:v>/Users/asafsolonnikov/.research-assistant/research.db :: project=power-narrowing-spectroscopy</x:v>
      </x:c>
      <x:c r="C73" s="84" t="str">
        <x:v>60</x:v>
      </x:c>
      <x:c r="D73" s="84" t="str">
        <x:v>Time-Reversal and Reversible Dynamics in Cavity QED for Quantum Metrology</x:v>
      </x:c>
      <x:c r="E73" s="88" t="str"/>
      <x:c r="F73" s="88" t="str">
        <x:v>https://arxiv.org/abs/2607.02320</x:v>
      </x:c>
      <x:c r="G73" s="89" t="str">
        <x:v>No</x:v>
      </x:c>
      <x:c r="H73" s="89" t="str">
        <x:v>Yes</x:v>
      </x:c>
      <x:c r="I73" s="84" t="str">
        <x:v>PN-033</x:v>
      </x:c>
      <x:c r="J73" s="84" t="str">
        <x:v>new record</x:v>
      </x:c>
      <x:c r="K73" s="84" t="str"/>
      <x:c r="L73" s="84" t="str"/>
    </x:row>
    <x:row r="74" ht="54" customHeight="1">
      <x:c r="A74" s="84" t="str">
        <x:v>Scientific Assistant DB</x:v>
      </x:c>
      <x:c r="B74" s="84" t="str">
        <x:v>/Users/asafsolonnikov/.research-assistant/research.db :: project=power-narrowing-spectroscopy</x:v>
      </x:c>
      <x:c r="C74" s="84" t="str">
        <x:v>61</x:v>
      </x:c>
      <x:c r="D74" s="84" t="str">
        <x:v>A nanoscale magnetic spectrum analyzer based on qubit dressed states</x:v>
      </x:c>
      <x:c r="E74" s="88" t="str"/>
      <x:c r="F74" s="88" t="str">
        <x:v>https://arxiv.org/abs/2606.05426</x:v>
      </x:c>
      <x:c r="G74" s="89" t="str">
        <x:v>No</x:v>
      </x:c>
      <x:c r="H74" s="89" t="str">
        <x:v>Yes</x:v>
      </x:c>
      <x:c r="I74" s="84" t="str">
        <x:v>PN-029</x:v>
      </x:c>
      <x:c r="J74" s="84" t="str">
        <x:v>new record</x:v>
      </x:c>
      <x:c r="K74" s="84" t="str"/>
      <x:c r="L74" s="84" t="str"/>
    </x:row>
  </x:sheetData>
  <x:mergeCells>
    <x:mergeCell ref="A1:L1"/>
    <x:mergeCell ref="A2:L2"/>
  </x:mergeCells>
  <x:conditionalFormatting sqref="H5:H74">
    <x:cfRule type="containsText" dxfId="2" priority="1" operator="containsText" text="No"/>
  </x:conditionalFormatting>
  <x:pageMargins left="0.7" right="0.7" top="0.75" bottom="0.75" header="0.3" footer="0.3"/>
  <x:tableParts count="1">
    <x:tablePart xmlns:r="http://schemas.openxmlformats.org/officeDocument/2006/relationships" r:id="R80de9b0799844788"/>
  </x:tableParts>
</x:worksheet>
</file>